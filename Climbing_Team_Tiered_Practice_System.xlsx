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og a Workout" sheetId="2" state="visible" r:id="rId2"/>
    <sheet xmlns:r="http://schemas.openxmlformats.org/officeDocument/2006/relationships" name="Day View" sheetId="3" state="visible" r:id="rId3"/>
    <sheet xmlns:r="http://schemas.openxmlformats.org/officeDocument/2006/relationships" name="Athlete Profiles" sheetId="4" state="visible" r:id="rId4"/>
    <sheet xmlns:r="http://schemas.openxmlformats.org/officeDocument/2006/relationships" name="Coach Profiles" sheetId="5" state="visible" r:id="rId5"/>
    <sheet xmlns:r="http://schemas.openxmlformats.org/officeDocument/2006/relationships" name="Exercise Library" sheetId="6" state="visible" r:id="rId6"/>
    <sheet xmlns:r="http://schemas.openxmlformats.org/officeDocument/2006/relationships" name="Rotation Schedule" sheetId="7" state="visible" r:id="rId7"/>
    <sheet xmlns:r="http://schemas.openxmlformats.org/officeDocument/2006/relationships" name="Full Team Calendar" sheetId="8" state="visible" r:id="rId8"/>
    <sheet xmlns:r="http://schemas.openxmlformats.org/officeDocument/2006/relationships" name="Progress Log" sheetId="9" state="visible" r:id="rId9"/>
    <sheet xmlns:r="http://schemas.openxmlformats.org/officeDocument/2006/relationships" name="Settings" sheetId="10" state="visible" r:id="rId10"/>
  </sheets>
  <definedNames>
    <definedName name="GroupAName">Settings!$B$5</definedName>
    <definedName name="GroupBName">Settings!$B$6</definedName>
    <definedName name="GroupCName">Settings!$B$7</definedName>
    <definedName name="GroupNamesRange">Settings!$B$5:$B$7</definedName>
    <definedName name="GroupPlusAllTeam">Settings!$A$34:$A$37</definedName>
    <definedName name="GroupPlusAllLevels">Settings!$C$34:$C$37</definedName>
    <definedName name="BlockTypesList">Settings!$A$40:$A$47</definedName>
    <definedName name="SeasonStart">Settings!$B$16</definedName>
    <definedName name="NumWeeks">Settings!$B$17</definedName>
    <definedName name="RosterFullNames">'Athlete Profiles'!$D$6:$D$37</definedName>
    <definedName name="RosterGroupCol">'Athlete Profiles'!$F$6:$F$37</definedName>
    <definedName name="AllCoachNames">'Coach Profiles'!$D$6:$D$19</definedName>
    <definedName name="MondayCoachList">'Coach Profiles'!$T$6:$T$13</definedName>
    <definedName name="TuesdayCoachList">'Coach Profiles'!$U$6:$U$13</definedName>
    <definedName name="ThursdayCoachList">'Coach Profiles'!$V$6:$V$13</definedName>
    <definedName name="LogDayRank">'Log a Workout'!$I$5:$I$200</definedName>
    <definedName name="ExerciseNames">'Exercise Library'!$D$6:$D$120</definedName>
  </definedNames>
  <calcPr calcId="124519" fullCalcOnLoad="1"/>
</workbook>
</file>

<file path=xl/styles.xml><?xml version="1.0" encoding="utf-8"?>
<styleSheet xmlns="http://schemas.openxmlformats.org/spreadsheetml/2006/main">
  <numFmts count="3">
    <numFmt numFmtId="164" formatCode="yyyy-mm-dd"/>
    <numFmt numFmtId="165" formatCode="ddd, mmm d, yyyy"/>
    <numFmt numFmtId="166" formatCode="mmm d, yyyy"/>
  </numFmts>
  <fonts count="25">
    <font>
      <name val="Calibri"/>
      <family val="2"/>
      <color theme="1"/>
      <sz val="11"/>
      <scheme val="minor"/>
    </font>
    <font>
      <name val="Arial"/>
      <b val="1"/>
      <color rgb="00FFFFFF"/>
      <sz val="18"/>
    </font>
    <font>
      <name val="Arial"/>
      <i val="1"/>
      <color rgb="00666666"/>
      <sz val="10"/>
    </font>
    <font>
      <name val="Arial"/>
      <b val="1"/>
      <color rgb="001F3864"/>
      <sz val="13"/>
    </font>
    <font>
      <name val="Arial"/>
      <color rgb="00000000"/>
      <sz val="11"/>
    </font>
    <font>
      <name val="Arial"/>
      <b val="1"/>
      <color rgb="001F3864"/>
      <sz val="11"/>
    </font>
    <font>
      <name val="Arial"/>
      <color rgb="00000000"/>
      <sz val="10.5"/>
    </font>
    <font>
      <name val="Arial"/>
      <b val="1"/>
      <color rgb="00000000"/>
      <sz val="11"/>
    </font>
    <font>
      <name val="Arial"/>
      <color rgb="00000000"/>
      <sz val="10"/>
    </font>
    <font>
      <name val="Arial"/>
      <color rgb="001155CC"/>
      <sz val="10"/>
    </font>
    <font>
      <name val="Arial"/>
      <color rgb="00000000"/>
      <sz val="9"/>
    </font>
    <font>
      <name val="Arial"/>
      <b val="1"/>
      <color rgb="00FFFFFF"/>
      <sz val="16"/>
    </font>
    <font>
      <name val="Arial"/>
      <b val="1"/>
      <color rgb="001F3864"/>
      <sz val="12"/>
    </font>
    <font>
      <name val="Arial"/>
      <color rgb="001155CC"/>
      <sz val="11"/>
    </font>
    <font>
      <name val="Arial"/>
      <i val="1"/>
      <color rgb="00666666"/>
      <sz val="9"/>
    </font>
    <font>
      <name val="Arial"/>
      <b val="1"/>
      <color rgb="00666666"/>
      <sz val="10"/>
    </font>
    <font>
      <name val="Arial"/>
      <b val="1"/>
      <color rgb="00000000"/>
      <sz val="10"/>
    </font>
    <font>
      <name val="Arial"/>
      <b val="1"/>
      <color rgb="001F3864"/>
      <sz val="10"/>
    </font>
    <font>
      <name val="Arial"/>
      <b val="1"/>
      <color rgb="00000000"/>
      <sz val="9.5"/>
    </font>
    <font>
      <name val="Arial"/>
      <b val="1"/>
      <color rgb="00666666"/>
      <sz val="8"/>
    </font>
    <font>
      <name val="Arial"/>
      <color rgb="00666666"/>
      <sz val="8"/>
    </font>
    <font>
      <name val="Arial"/>
      <b val="1"/>
      <color rgb="001155CC"/>
      <sz val="12"/>
    </font>
    <font>
      <name val="Arial"/>
      <i val="1"/>
      <color rgb="00666666"/>
      <sz val="9.5"/>
    </font>
    <font>
      <name val="Arial"/>
      <i val="1"/>
      <color rgb="00B00020"/>
      <sz val="8.5"/>
    </font>
    <font>
      <name val="Arial"/>
      <b val="1"/>
      <color rgb="00FFFFFF"/>
      <sz val="11"/>
    </font>
  </fonts>
  <fills count="11">
    <fill>
      <patternFill/>
    </fill>
    <fill>
      <patternFill patternType="gray125"/>
    </fill>
    <fill>
      <patternFill patternType="solid">
        <fgColor rgb="001F3864"/>
        <bgColor rgb="001F3864"/>
      </patternFill>
    </fill>
    <fill>
      <patternFill patternType="solid">
        <fgColor rgb="00E7E6E6"/>
        <bgColor rgb="00E7E6E6"/>
      </patternFill>
    </fill>
    <fill>
      <patternFill patternType="solid">
        <fgColor rgb="00D9E7F5"/>
        <bgColor rgb="00D9E7F5"/>
      </patternFill>
    </fill>
    <fill>
      <patternFill patternType="solid">
        <fgColor rgb="00DCEAD6"/>
        <bgColor rgb="00DCEAD6"/>
      </patternFill>
    </fill>
    <fill>
      <patternFill patternType="solid">
        <fgColor rgb="00FCE5D0"/>
        <bgColor rgb="00FCE5D0"/>
      </patternFill>
    </fill>
    <fill>
      <patternFill patternType="solid">
        <fgColor rgb="00FFE699"/>
        <bgColor rgb="00FFE699"/>
      </patternFill>
    </fill>
    <fill>
      <patternFill patternType="solid">
        <fgColor rgb="00FFF2CC"/>
        <bgColor rgb="00FFF2CC"/>
      </patternFill>
    </fill>
    <fill>
      <patternFill patternType="solid">
        <fgColor rgb="00F4CCCC"/>
        <bgColor rgb="00F4CCCC"/>
      </patternFill>
    </fill>
    <fill>
      <patternFill patternType="solid">
        <fgColor rgb="00D9D9D9"/>
        <bgColor rgb="00D9D9D9"/>
      </patternFill>
    </fill>
  </fills>
  <borders count="7">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style="thin">
        <color rgb="00B7B7B7"/>
      </right>
      <top style="thin">
        <color rgb="00B7B7B7"/>
      </top>
      <bottom style="thin">
        <color rgb="00B7B7B7"/>
      </bottom>
      <diagonal/>
    </border>
    <border>
      <left/>
      <right/>
      <top style="thin">
        <color rgb="00B7B7B7"/>
      </top>
      <bottom style="thin">
        <color rgb="00B7B7B7"/>
      </bottom>
      <diagonal/>
    </border>
    <border>
      <bottom style="thin">
        <color rgb="00D9D9D9"/>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xf>
    <xf numFmtId="0" fontId="6"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xf>
    <xf numFmtId="0" fontId="7"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8" fillId="0" borderId="1" applyAlignment="1" pivotButton="0" quotePrefix="0" xfId="0">
      <alignment vertical="center" wrapText="1"/>
    </xf>
    <xf numFmtId="0" fontId="9" fillId="0" borderId="1" applyAlignment="1" pivotButton="0" quotePrefix="0" xfId="0">
      <alignment vertical="center"/>
    </xf>
    <xf numFmtId="0" fontId="7" fillId="0" borderId="0"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10" fillId="0" borderId="0" applyAlignment="1" pivotButton="0" quotePrefix="0" xfId="0">
      <alignment wrapText="1"/>
    </xf>
    <xf numFmtId="0" fontId="11" fillId="2" borderId="0" applyAlignment="1" pivotButton="0" quotePrefix="0" xfId="0">
      <alignment horizontal="left" vertical="center" indent="1"/>
    </xf>
    <xf numFmtId="0" fontId="18" fillId="0" borderId="0" applyAlignment="1" pivotButton="0" quotePrefix="0" xfId="0">
      <alignment horizontal="left" vertical="center"/>
    </xf>
    <xf numFmtId="0" fontId="8" fillId="8" borderId="1" applyAlignment="1" pivotButton="0" quotePrefix="0" xfId="0">
      <alignment horizontal="center"/>
    </xf>
    <xf numFmtId="0" fontId="14" fillId="0" borderId="0" pivotButton="0" quotePrefix="0" xfId="0"/>
    <xf numFmtId="0" fontId="19" fillId="0" borderId="0" pivotButton="0" quotePrefix="0" xfId="0"/>
    <xf numFmtId="166"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0" fillId="0" borderId="0" pivotButton="0" quotePrefix="0" xfId="0"/>
    <xf numFmtId="166" fontId="8" fillId="0" borderId="1" applyAlignment="1" pivotButton="0" quotePrefix="0" xfId="0">
      <alignment vertical="top"/>
    </xf>
    <xf numFmtId="0" fontId="8" fillId="0" borderId="1" applyAlignment="1" pivotButton="0" quotePrefix="0" xfId="0">
      <alignment vertical="top"/>
    </xf>
    <xf numFmtId="0" fontId="8" fillId="0" borderId="1" applyAlignment="1" pivotButton="0" quotePrefix="0" xfId="0">
      <alignment vertical="top" wrapText="1"/>
    </xf>
    <xf numFmtId="0" fontId="14" fillId="0" borderId="0" applyAlignment="1" pivotButton="0" quotePrefix="0" xfId="0">
      <alignment vertical="center"/>
    </xf>
    <xf numFmtId="0" fontId="7" fillId="0" borderId="0" applyAlignment="1" pivotButton="0" quotePrefix="0" xfId="0">
      <alignment horizontal="left" vertical="center"/>
    </xf>
    <xf numFmtId="165" fontId="21" fillId="8" borderId="1" pivotButton="0" quotePrefix="0" xfId="0"/>
    <xf numFmtId="0" fontId="22" fillId="0" borderId="0" applyAlignment="1" pivotButton="0" quotePrefix="0" xfId="0">
      <alignment vertical="top" wrapText="1"/>
    </xf>
    <xf numFmtId="0" fontId="8" fillId="9" borderId="1" applyAlignment="1" pivotButton="0" quotePrefix="0" xfId="0">
      <alignment horizontal="center"/>
    </xf>
    <xf numFmtId="0" fontId="23" fillId="0" borderId="0" applyAlignment="1" pivotButton="0" quotePrefix="0" xfId="0">
      <alignment vertical="center" wrapText="1"/>
    </xf>
    <xf numFmtId="0" fontId="5" fillId="0" borderId="0" applyAlignment="1" pivotButton="0" quotePrefix="0" xfId="0">
      <alignment vertical="top" wrapText="1"/>
    </xf>
    <xf numFmtId="0" fontId="24" fillId="10" borderId="0" applyAlignment="1" pivotButton="0" quotePrefix="0" xfId="0">
      <alignment vertical="center" wrapText="1" indent="1"/>
    </xf>
    <xf numFmtId="0" fontId="6" fillId="0" borderId="0" applyAlignment="1" pivotButton="0" quotePrefix="0" xfId="0">
      <alignment vertical="top" wrapText="1" indent="1"/>
    </xf>
    <xf numFmtId="0" fontId="22" fillId="0" borderId="6" applyAlignment="1" pivotButton="0" quotePrefix="0" xfId="0">
      <alignment vertical="top" wrapText="1" indent="1"/>
    </xf>
    <xf numFmtId="0" fontId="16" fillId="0" borderId="0" applyAlignment="1" pivotButton="0" quotePrefix="0" xfId="0">
      <alignment horizontal="left" vertical="center"/>
    </xf>
    <xf numFmtId="0" fontId="17" fillId="0" borderId="0"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166" fontId="2" fillId="0" borderId="1" applyAlignment="1" pivotButton="0" quotePrefix="0" xfId="0">
      <alignment vertical="center"/>
    </xf>
    <xf numFmtId="0" fontId="2" fillId="0" borderId="1" applyAlignment="1" pivotButton="0" quotePrefix="0" xfId="0">
      <alignment horizontal="center"/>
    </xf>
    <xf numFmtId="0" fontId="8" fillId="0" borderId="1" applyAlignment="1" pivotButton="0" quotePrefix="0" xfId="0">
      <alignment vertical="center"/>
    </xf>
    <xf numFmtId="166" fontId="8" fillId="0" borderId="1" applyAlignment="1" pivotButton="0" quotePrefix="0" xfId="0">
      <alignment vertical="center"/>
    </xf>
    <xf numFmtId="0" fontId="8" fillId="0" borderId="1" applyAlignment="1" pivotButton="0" quotePrefix="0" xfId="0">
      <alignment horizontal="center"/>
    </xf>
    <xf numFmtId="0" fontId="19" fillId="0" borderId="0" applyAlignment="1" pivotButton="0" quotePrefix="0" xfId="0">
      <alignment horizontal="center"/>
    </xf>
    <xf numFmtId="0" fontId="20" fillId="0" borderId="0" applyAlignment="1" pivotButton="0" quotePrefix="0" xfId="0">
      <alignment horizontal="center"/>
    </xf>
    <xf numFmtId="0" fontId="10" fillId="0" borderId="0" pivotButton="0" quotePrefix="0" xfId="0"/>
    <xf numFmtId="0" fontId="8" fillId="0" borderId="1" applyAlignment="1" pivotButton="0" quotePrefix="0" xfId="0">
      <alignment horizontal="center" vertical="center"/>
    </xf>
    <xf numFmtId="165" fontId="8" fillId="0" borderId="1" applyAlignment="1" pivotButton="0" quotePrefix="0" xfId="0">
      <alignment horizontal="left" vertical="center"/>
    </xf>
    <xf numFmtId="0" fontId="8" fillId="0" borderId="1" applyAlignment="1" pivotButton="0" quotePrefix="0" xfId="0">
      <alignment horizontal="left" vertical="center" wrapText="1"/>
    </xf>
    <xf numFmtId="165" fontId="8" fillId="0" borderId="1" applyAlignment="1" pivotButton="0" quotePrefix="0" xfId="0">
      <alignment horizontal="center" vertical="center"/>
    </xf>
    <xf numFmtId="0" fontId="12" fillId="0" borderId="0" applyAlignment="1" pivotButton="0" quotePrefix="0" xfId="0">
      <alignment horizontal="left" vertical="center"/>
    </xf>
    <xf numFmtId="0" fontId="13" fillId="8" borderId="1" applyAlignment="1" pivotButton="0" quotePrefix="0" xfId="0">
      <alignment horizontal="left" vertical="center"/>
    </xf>
    <xf numFmtId="0" fontId="14" fillId="0" borderId="0" applyAlignment="1" pivotButton="0" quotePrefix="0" xfId="0">
      <alignment vertical="top" wrapText="1"/>
    </xf>
    <xf numFmtId="165" fontId="13" fillId="8" borderId="1" applyAlignment="1" pivotButton="0" quotePrefix="0" xfId="0">
      <alignment horizontal="left" vertical="center"/>
    </xf>
    <xf numFmtId="0" fontId="4" fillId="0" borderId="1" applyAlignment="1" pivotButton="0" quotePrefix="0" xfId="0">
      <alignment horizontal="center"/>
    </xf>
    <xf numFmtId="0" fontId="4" fillId="0" borderId="1" pivotButton="0" quotePrefix="0" xfId="0"/>
    <xf numFmtId="0" fontId="15" fillId="0" borderId="0" applyAlignment="1" pivotButton="0" quotePrefix="0" xfId="0">
      <alignment horizontal="left" vertical="center"/>
    </xf>
    <xf numFmtId="0" fontId="8" fillId="0" borderId="0" pivotButton="0" quotePrefix="0" xfId="0"/>
    <xf numFmtId="0" fontId="8" fillId="0" borderId="1" pivotButton="0" quotePrefix="0" xfId="0"/>
  </cellXfs>
  <cellStyles count="1">
    <cellStyle name="Normal" xfId="0" builtinId="0" hidden="0"/>
  </cellStyles>
  <dxfs count="9">
    <dxf>
      <fill>
        <patternFill patternType="solid">
          <fgColor rgb="00FFE699"/>
          <bgColor rgb="00FFE699"/>
        </patternFill>
      </fill>
    </dxf>
    <dxf>
      <fill>
        <patternFill patternType="solid">
          <fgColor rgb="002E75B6"/>
          <bgColor rgb="002E75B6"/>
        </patternFill>
      </fill>
    </dxf>
    <dxf>
      <fill>
        <patternFill patternType="solid">
          <fgColor rgb="00548235"/>
          <bgColor rgb="00548235"/>
        </patternFill>
      </fill>
    </dxf>
    <dxf>
      <fill>
        <patternFill patternType="solid">
          <fgColor rgb="00BF8F00"/>
          <bgColor rgb="00BF8F00"/>
        </patternFill>
      </fill>
    </dxf>
    <dxf>
      <fill>
        <patternFill patternType="solid">
          <fgColor rgb="00F4CCCC"/>
          <bgColor rgb="00F4CCCC"/>
        </patternFill>
      </fill>
    </dxf>
    <dxf>
      <fill>
        <patternFill patternType="solid">
          <fgColor rgb="00D9E7F5"/>
          <bgColor rgb="00D9E7F5"/>
        </patternFill>
      </fill>
    </dxf>
    <dxf>
      <fill>
        <patternFill patternType="solid">
          <fgColor rgb="00DCEAD6"/>
          <bgColor rgb="00DCEAD6"/>
        </patternFill>
      </fill>
    </dxf>
    <dxf>
      <fill>
        <patternFill patternType="solid">
          <fgColor rgb="00FCE5D0"/>
          <bgColor rgb="00FCE5D0"/>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H50"/>
  <sheetViews>
    <sheetView showGridLines="0" workbookViewId="0">
      <selection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0" customWidth="1" min="7" max="7"/>
    <col width="20" customWidth="1" min="8" max="8"/>
  </cols>
  <sheetData>
    <row r="1" ht="34" customHeight="1">
      <c r="A1" s="1" t="inlineStr">
        <is>
          <t>Rock Team — Tiered Practice System (Proposal)</t>
        </is>
      </c>
    </row>
    <row r="2">
      <c r="A2" s="2" t="inlineStr">
        <is>
          <t>A working draft for discussion with the head coach — every default below is editable and meant to be argued with. Built mobile-first, since that's how most coaches will actually open it.</t>
        </is>
      </c>
    </row>
    <row r="4">
      <c r="A4" s="3" t="inlineStr">
        <is>
          <t>What this changes</t>
        </is>
      </c>
    </row>
    <row r="5">
      <c r="A5" s="4" t="inlineStr">
        <is>
          <t>Right now everyone on a given day gets the same workout regardless of level, which stretches our top climbers too thin and rushes our newest climbers. This workbook splits the team into three skill tiers and gives each tier a properly planned, individualized 90-minute block on Thursdays on a rotating basis (see Rotation Schedule for exactly how the 4-week cycle works).</t>
        </is>
      </c>
    </row>
    <row r="6"/>
    <row r="7"/>
    <row r="9">
      <c r="A9" s="3" t="inlineStr">
        <is>
          <t>The 3 tabs you'll actually use — all work fully on a phone</t>
        </is>
      </c>
    </row>
    <row r="10" ht="46" customHeight="1">
      <c r="A10" s="5" t="inlineStr">
        <is>
          <t>Log a Workout</t>
        </is>
      </c>
      <c r="C10" s="6" t="inlineStr">
        <is>
          <t>Plan a session: tap in the date, group, and (fastest) a pick from the Exercise Library — Block Type/Description/Sets-Reps fill themselves in, still editable. It's on Day View the instant you type it; no button to press, nothing to save separately.</t>
        </is>
      </c>
    </row>
    <row r="12" ht="46" customHeight="1">
      <c r="A12" s="5" t="inlineStr">
        <is>
          <t>Day View</t>
        </is>
      </c>
      <c r="C12" s="6" t="inlineStr">
        <is>
          <t>Pick a date, scroll down. The whole day's plan, laid out to read top-to-bottom on a phone — nobody needs to scroll sideways or squint at a tiny grid.</t>
        </is>
      </c>
    </row>
    <row r="14" ht="46" customHeight="1">
      <c r="A14" s="5" t="inlineStr">
        <is>
          <t>Athlete Profiles</t>
        </is>
      </c>
      <c r="C14" s="6" t="inlineStr">
        <is>
          <t>The roster. Type straight into the grid any time — no app or menu required. On a computer, Team Tools also offers a pop-up form for this if you'd rather use that; it just isn't available on the phone app.</t>
        </is>
      </c>
    </row>
    <row r="17">
      <c r="A17" s="7" t="inlineStr">
        <is>
          <t>A note on "Team Tools": the pop-up add/edit forms and menu (Extensions &gt; Apps Script setup) only work in a real browser — desktop, or a phone's browser at sheets.google.com — never inside the Google Sheets phone app. That's a Google limitation, not something fixable in the script. Everything above works without it regardless: typing into a cell and picking from a dropdown both work perfectly in the phone app.</t>
        </is>
      </c>
    </row>
    <row r="20">
      <c r="A20" s="3" t="inlineStr">
        <is>
          <t>Everything else (tucked away, still here when you need it)</t>
        </is>
      </c>
    </row>
    <row r="21" ht="30" customHeight="1">
      <c r="A21" s="8" t="inlineStr">
        <is>
          <t>Coach Profiles</t>
        </is>
      </c>
      <c r="C21" s="6" t="inlineStr">
        <is>
          <t>Same idea as Athlete Profiles, for coaches — including which day(s) they coach, which drives the rotation below.</t>
        </is>
      </c>
    </row>
    <row r="23" ht="30" customHeight="1">
      <c r="A23" s="8" t="inlineStr">
        <is>
          <t>Exercise Library</t>
        </is>
      </c>
      <c r="C23" s="6" t="inlineStr">
        <is>
          <t>The catalog Log a Workout pulls from. Add a new entry any time, right in the blank rows.</t>
        </is>
      </c>
    </row>
    <row r="25" ht="30" customHeight="1">
      <c r="A25" s="8" t="inlineStr">
        <is>
          <t>Rotation Schedule</t>
        </is>
      </c>
      <c r="C25" s="6" t="inlineStr">
        <is>
          <t>The Thursday-by-Thursday detail: which tier is featured, who's the lead planning coach.</t>
        </is>
      </c>
    </row>
    <row r="27" ht="30" customHeight="1">
      <c r="A27" s="8" t="inlineStr">
        <is>
          <t>Full Team Calendar</t>
        </is>
      </c>
      <c r="C27" s="6" t="inlineStr">
        <is>
          <t>Every Monday/Tuesday/Thursday for the whole season at a glance — the piece that lets this grow into a full-team tool later.</t>
        </is>
      </c>
    </row>
    <row r="29" ht="30" customHeight="1">
      <c r="A29" s="8" t="inlineStr">
        <is>
          <t>Progress Log</t>
        </is>
      </c>
      <c r="C29" s="6" t="inlineStr">
        <is>
          <t>Grade progress, comp results, benchmarks, coach notes over time — one row per data point.</t>
        </is>
      </c>
    </row>
    <row r="31" ht="30" customHeight="1">
      <c r="A31" s="8" t="inlineStr">
        <is>
          <t>Settings</t>
        </is>
      </c>
      <c r="C31" s="6" t="inlineStr">
        <is>
          <t>Rename a tier, add a block type, change the season start date — everything else in the workbook updates automatically.</t>
        </is>
      </c>
    </row>
    <row r="34">
      <c r="A34" s="3" t="inlineStr">
        <is>
          <t>Optional: add real clickable buttons (desktop, ~5 min, one time)</t>
        </is>
      </c>
    </row>
    <row r="35">
      <c r="A35" s="7" t="inlineStr">
        <is>
          <t>Every function below is already in the script and already on the Team Tools menu — this step just gives it a clickable button too. For each row: Insert &gt; Drawing, draw a small rounded rectangle, add the label text, Save and Close, then click the drawing's ⋮ menu &gt; Assign script, and type the function name exactly as shown.</t>
        </is>
      </c>
    </row>
    <row r="37" ht="20" customHeight="1">
      <c r="A37" s="9" t="inlineStr">
        <is>
          <t>Button</t>
        </is>
      </c>
      <c r="B37" s="10" t="n"/>
      <c r="C37" s="9" t="inlineStr">
        <is>
          <t>Function to assign</t>
        </is>
      </c>
      <c r="D37" s="10" t="n"/>
      <c r="E37" s="9" t="inlineStr">
        <is>
          <t>What it does / where to put it</t>
        </is>
      </c>
      <c r="F37" s="11" t="n"/>
      <c r="G37" s="11" t="n"/>
      <c r="H37" s="10" t="n"/>
    </row>
    <row r="38" ht="30" customHeight="1">
      <c r="A38" s="12" t="inlineStr">
        <is>
          <t>🏠 Home</t>
        </is>
      </c>
      <c r="C38" s="13" t="inlineStr">
        <is>
          <t>goHome</t>
        </is>
      </c>
      <c r="E38" s="12" t="inlineStr">
        <is>
          <t>Jump back to this Read Me tab. Good on every tab, top corner.</t>
        </is>
      </c>
    </row>
    <row r="39" ht="30" customHeight="1">
      <c r="A39" s="12" t="inlineStr">
        <is>
          <t>📅 Today's Workout</t>
        </is>
      </c>
      <c r="C39" s="13" t="inlineStr">
        <is>
          <t>openTodaysWorkout</t>
        </is>
      </c>
      <c r="E39" s="12" t="inlineStr">
        <is>
          <t>Jump to Day View, dated today. Good on Read Me, or anywhere.</t>
        </is>
      </c>
    </row>
    <row r="40" ht="30" customHeight="1">
      <c r="A40" s="12" t="inlineStr">
        <is>
          <t>➕ Start New Workout Entry</t>
        </is>
      </c>
      <c r="C40" s="13" t="inlineStr">
        <is>
          <t>startNewWorkoutEntry</t>
        </is>
      </c>
      <c r="E40" s="12" t="inlineStr">
        <is>
          <t>Jump to Log a Workout, next blank row dated today. Good on Read Me or Day View.</t>
        </is>
      </c>
    </row>
    <row r="41" ht="30" customHeight="1">
      <c r="A41" s="12" t="inlineStr">
        <is>
          <t>🗑 Clear This Day's Plan</t>
        </is>
      </c>
      <c r="C41" s="13" t="inlineStr">
        <is>
          <t>clearDayPlan</t>
        </is>
      </c>
      <c r="E41" s="12" t="inlineStr">
        <is>
          <t>Wipes Day View's current date, with a confirmation. Good on Day View.</t>
        </is>
      </c>
    </row>
    <row r="42" ht="30" customHeight="1">
      <c r="A42" s="12" t="inlineStr">
        <is>
          <t>👤 Add Athlete</t>
        </is>
      </c>
      <c r="C42" s="13" t="inlineStr">
        <is>
          <t>showAddAthleteForm</t>
        </is>
      </c>
      <c r="E42" s="12" t="inlineStr">
        <is>
          <t>Pops up the add-athlete form. Good on Athlete Profiles.</t>
        </is>
      </c>
    </row>
    <row r="43" ht="30" customHeight="1">
      <c r="A43" s="12" t="inlineStr">
        <is>
          <t>🧗 Add Coach</t>
        </is>
      </c>
      <c r="C43" s="13" t="inlineStr">
        <is>
          <t>showAddCoachForm</t>
        </is>
      </c>
      <c r="E43" s="12" t="inlineStr">
        <is>
          <t>Pops up the add-coach form. Good on Coach Profiles.</t>
        </is>
      </c>
    </row>
    <row r="44" ht="30" customHeight="1">
      <c r="A44" s="12" t="inlineStr">
        <is>
          <t>📚 Add Exercise</t>
        </is>
      </c>
      <c r="C44" s="13" t="inlineStr">
        <is>
          <t>showAddExerciseForm</t>
        </is>
      </c>
      <c r="E44" s="12" t="inlineStr">
        <is>
          <t>Pops up the add-exercise form. Good on Exercise Library.</t>
        </is>
      </c>
    </row>
    <row r="46">
      <c r="A46" s="7" t="inlineStr">
        <is>
          <t>These buttons only render and respond to clicks in a browser (desktop, or a phone's browser at sheets.google.com) — Google doesn't run drawing scripts inside the Sheets phone app. On a phone, use the Team Tools menu for these, or the two checkboxes on Day View and Log a Workout, which work everywhere.</t>
        </is>
      </c>
    </row>
    <row r="49">
      <c r="A49" s="14" t="inlineStr">
        <is>
          <t xml:space="preserve">Color legend: </t>
        </is>
      </c>
      <c r="B49" s="15" t="n"/>
      <c r="C49" s="16" t="n"/>
      <c r="D49" s="17" t="n"/>
      <c r="E49" s="18" t="n"/>
      <c r="F49" s="19" t="n"/>
    </row>
    <row r="50">
      <c r="B50" s="20" t="inlineStr">
        <is>
          <t>Advanced tier</t>
        </is>
      </c>
      <c r="C50" s="20" t="inlineStr">
        <is>
          <t>Intermediate tier</t>
        </is>
      </c>
      <c r="D50" s="20" t="inlineStr">
        <is>
          <t>Developing tier</t>
        </is>
      </c>
      <c r="E50" s="20" t="inlineStr">
        <is>
          <t>All-Team week</t>
        </is>
      </c>
      <c r="F50" s="20" t="inlineStr">
        <is>
          <t>Cell to edit</t>
        </is>
      </c>
    </row>
  </sheetData>
  <mergeCells count="53">
    <mergeCell ref="C25:H25"/>
    <mergeCell ref="C10:H10"/>
    <mergeCell ref="C42:D42"/>
    <mergeCell ref="C31:H31"/>
    <mergeCell ref="A1:H1"/>
    <mergeCell ref="C12:H12"/>
    <mergeCell ref="E41:H41"/>
    <mergeCell ref="C21:H21"/>
    <mergeCell ref="E37:H37"/>
    <mergeCell ref="B50"/>
    <mergeCell ref="D50"/>
    <mergeCell ref="A25:B25"/>
    <mergeCell ref="E50"/>
    <mergeCell ref="C27:H27"/>
    <mergeCell ref="A41:B41"/>
    <mergeCell ref="E43:H43"/>
    <mergeCell ref="C41:D41"/>
    <mergeCell ref="C23:H23"/>
    <mergeCell ref="A37:B37"/>
    <mergeCell ref="C44:D44"/>
    <mergeCell ref="C40:D40"/>
    <mergeCell ref="A46:H46"/>
    <mergeCell ref="A27:B27"/>
    <mergeCell ref="E42:H42"/>
    <mergeCell ref="A12:B12"/>
    <mergeCell ref="C43:D43"/>
    <mergeCell ref="A21:B21"/>
    <mergeCell ref="E39:H39"/>
    <mergeCell ref="A2:H2"/>
    <mergeCell ref="A42:B42"/>
    <mergeCell ref="E38:H38"/>
    <mergeCell ref="E44:H44"/>
    <mergeCell ref="A14:B14"/>
    <mergeCell ref="A23:B23"/>
    <mergeCell ref="C50"/>
    <mergeCell ref="C39:D39"/>
    <mergeCell ref="A17:H17"/>
    <mergeCell ref="A38:B38"/>
    <mergeCell ref="E40:H40"/>
    <mergeCell ref="F50"/>
    <mergeCell ref="A29:B29"/>
    <mergeCell ref="A35:H35"/>
    <mergeCell ref="C14:H14"/>
    <mergeCell ref="C38:D38"/>
    <mergeCell ref="A43:B43"/>
    <mergeCell ref="A10:B10"/>
    <mergeCell ref="A5:H7"/>
    <mergeCell ref="C37:D37"/>
    <mergeCell ref="A44:B44"/>
    <mergeCell ref="A40:B40"/>
    <mergeCell ref="A31:B31"/>
    <mergeCell ref="C29:H29"/>
    <mergeCell ref="A39:B39"/>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38761D"/>
    <outlinePr summaryBelow="1" summaryRight="1"/>
    <pageSetUpPr fitToPage="1"/>
  </sheetPr>
  <dimension ref="A1:I20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0" customWidth="1" min="3" max="3"/>
    <col width="16" customWidth="1" min="4" max="4"/>
    <col width="32" customWidth="1" min="5" max="5"/>
    <col width="18" customWidth="1" min="6" max="6"/>
    <col width="14" customWidth="1" min="7" max="7"/>
    <col width="22" customWidth="1" min="8" max="8"/>
    <col hidden="1" width="6" customWidth="1" min="9" max="9"/>
  </cols>
  <sheetData>
    <row r="1" ht="30" customHeight="1">
      <c r="A1" s="21" t="inlineStr">
        <is>
          <t>Log a Workout</t>
        </is>
      </c>
    </row>
    <row r="2">
      <c r="A2" s="2" t="inlineStr">
        <is>
          <t>Works fully on a phone — no app menu needed. Fastest path on mobile: tap Date, tap Group, tap "Pick from Library," done — Block Type/Description/Sets-Reps fill themselves in. It shows up on Day View the moment you enter it, for any coach to see. Planning something new? Leave "Pick from Library" blank and just type the Description yourself.</t>
        </is>
      </c>
    </row>
    <row r="3">
      <c r="A3" s="22" t="inlineStr">
        <is>
          <t>Start today's entry:</t>
        </is>
      </c>
      <c r="B3" s="23" t="b">
        <v>0</v>
      </c>
      <c r="C3" s="24" t="inlineStr">
        <is>
          <t>Tap TRUE — a new row gets today's date, ready to fill in. Works from a phone.</t>
        </is>
      </c>
    </row>
    <row r="4" ht="34" customHeight="1">
      <c r="A4" s="9" t="inlineStr">
        <is>
          <t>Date</t>
        </is>
      </c>
      <c r="B4" s="9" t="inlineStr">
        <is>
          <t>Group</t>
        </is>
      </c>
      <c r="C4" s="9" t="inlineStr">
        <is>
          <t>Pick from Library
(optional)</t>
        </is>
      </c>
      <c r="D4" s="9" t="inlineStr">
        <is>
          <t>Block Type</t>
        </is>
      </c>
      <c r="E4" s="9" t="inlineStr">
        <is>
          <t>Description / Activity
(auto-fills, editable)</t>
        </is>
      </c>
      <c r="F4" s="9" t="inlineStr">
        <is>
          <t>Sets x Reps /
Duration (auto-fills, editable)</t>
        </is>
      </c>
      <c r="G4" s="9" t="inlineStr">
        <is>
          <t>Coach</t>
        </is>
      </c>
      <c r="H4" s="9" t="inlineStr">
        <is>
          <t>Notes</t>
        </is>
      </c>
      <c r="I4" s="25" t="inlineStr">
        <is>
          <t>Day Rk</t>
        </is>
      </c>
    </row>
    <row r="5">
      <c r="A5" s="26" t="n">
        <v>46287</v>
      </c>
      <c r="B5" s="27" t="inlineStr">
        <is>
          <t>Advanced</t>
        </is>
      </c>
      <c r="C5" s="27" t="inlineStr"/>
      <c r="D5" s="27" t="inlineStr">
        <is>
          <t>Warm-up</t>
        </is>
      </c>
      <c r="E5" s="28" t="inlineStr">
        <is>
          <t>Team warm up</t>
        </is>
      </c>
      <c r="F5" s="27" t="inlineStr">
        <is>
          <t>5:30-6:15 PM</t>
        </is>
      </c>
      <c r="G5" s="27" t="inlineStr"/>
      <c r="H5" s="28" t="inlineStr">
        <is>
          <t>EXAMPLE — reformatted from the 9/22 plan, overwrite or delete</t>
        </is>
      </c>
      <c r="I5" s="29">
        <f>IF($A5="","",IF($A5='Day View'!$B$4,COUNTIFS($A$5:$A5,'Day View'!$B$4),""))</f>
        <v/>
      </c>
    </row>
    <row r="6">
      <c r="A6" s="26" t="n">
        <v>46287</v>
      </c>
      <c r="B6" s="27" t="inlineStr">
        <is>
          <t>Advanced</t>
        </is>
      </c>
      <c r="C6" s="27" t="inlineStr"/>
      <c r="D6" s="27" t="inlineStr">
        <is>
          <t>Power</t>
        </is>
      </c>
      <c r="E6" s="28" t="inlineStr">
        <is>
          <t>Dynos in groups. Doesn't need to be coordinated — slab or steep.</t>
        </is>
      </c>
      <c r="F6" s="27" t="inlineStr">
        <is>
          <t>6:15-7:00 PM</t>
        </is>
      </c>
      <c r="G6" s="27" t="inlineStr"/>
      <c r="H6" s="28" t="inlineStr">
        <is>
          <t>EXAMPLE</t>
        </is>
      </c>
      <c r="I6" s="29">
        <f>IF($A6="","",IF($A6='Day View'!$B$4,COUNTIFS($A$5:$A6,'Day View'!$B$4),""))</f>
        <v/>
      </c>
    </row>
    <row r="7">
      <c r="A7" s="26" t="n">
        <v>46287</v>
      </c>
      <c r="B7" s="27" t="inlineStr">
        <is>
          <t>Advanced</t>
        </is>
      </c>
      <c r="C7" s="27" t="inlineStr">
        <is>
          <t>Foot Cut Drill</t>
        </is>
      </c>
      <c r="D7" s="27">
        <f>IFERROR(INDEX('Exercise Library'!$B$6:$B$120,MATCH(C7,ExerciseNames,0)),"")</f>
        <v/>
      </c>
      <c r="E7" s="28">
        <f>IFERROR(INDEX('Exercise Library'!$E$6:$E$120,MATCH(C7,ExerciseNames,0)),"")</f>
        <v/>
      </c>
      <c r="F7" s="27">
        <f>IFERROR(INDEX('Exercise Library'!$F$6:$F$120,MATCH(C7,ExerciseNames,0)),"")</f>
        <v/>
      </c>
      <c r="G7" s="27" t="inlineStr"/>
      <c r="H7" s="28" t="inlineStr">
        <is>
          <t>EXAMPLE — picked from the Library, so Block Type/Description/Sets-Reps auto-filled</t>
        </is>
      </c>
      <c r="I7" s="29">
        <f>IF($A7="","",IF($A7='Day View'!$B$4,COUNTIFS($A$5:$A7,'Day View'!$B$4),""))</f>
        <v/>
      </c>
    </row>
    <row r="8">
      <c r="A8" s="26" t="n">
        <v>46287</v>
      </c>
      <c r="B8" s="27" t="inlineStr">
        <is>
          <t>Advanced</t>
        </is>
      </c>
      <c r="C8" s="27" t="inlineStr"/>
      <c r="D8" s="27" t="inlineStr">
        <is>
          <t>Core</t>
        </is>
      </c>
      <c r="E8" s="28" t="inlineStr">
        <is>
          <t>Hanging core, 4 sets. Team stretch.</t>
        </is>
      </c>
      <c r="F8" s="27" t="inlineStr">
        <is>
          <t>7:45-8:00 PM</t>
        </is>
      </c>
      <c r="G8" s="27" t="inlineStr"/>
      <c r="H8" s="28" t="inlineStr">
        <is>
          <t>EXAMPLE</t>
        </is>
      </c>
      <c r="I8" s="29">
        <f>IF($A8="","",IF($A8='Day View'!$B$4,COUNTIFS($A$5:$A8,'Day View'!$B$4),""))</f>
        <v/>
      </c>
    </row>
    <row r="9">
      <c r="A9" s="30" t="n"/>
      <c r="B9" s="31" t="n"/>
      <c r="C9" s="31" t="n"/>
      <c r="D9" s="31">
        <f>IFERROR(INDEX('Exercise Library'!$B$6:$B$120,MATCH(C9,ExerciseNames,0)),"")</f>
        <v/>
      </c>
      <c r="E9" s="32">
        <f>IFERROR(INDEX('Exercise Library'!$E$6:$E$120,MATCH(C9,ExerciseNames,0)),"")</f>
        <v/>
      </c>
      <c r="F9" s="31">
        <f>IFERROR(INDEX('Exercise Library'!$F$6:$F$120,MATCH(C9,ExerciseNames,0)),"")</f>
        <v/>
      </c>
      <c r="G9" s="31" t="n"/>
      <c r="H9" s="32" t="n"/>
      <c r="I9" s="29">
        <f>IF($A9="","",IF($A9='Day View'!$B$4,COUNTIFS($A$5:$A9,'Day View'!$B$4),""))</f>
        <v/>
      </c>
    </row>
    <row r="10">
      <c r="A10" s="30" t="n"/>
      <c r="B10" s="31" t="n"/>
      <c r="C10" s="31" t="n"/>
      <c r="D10" s="31">
        <f>IFERROR(INDEX('Exercise Library'!$B$6:$B$120,MATCH(C10,ExerciseNames,0)),"")</f>
        <v/>
      </c>
      <c r="E10" s="32">
        <f>IFERROR(INDEX('Exercise Library'!$E$6:$E$120,MATCH(C10,ExerciseNames,0)),"")</f>
        <v/>
      </c>
      <c r="F10" s="31">
        <f>IFERROR(INDEX('Exercise Library'!$F$6:$F$120,MATCH(C10,ExerciseNames,0)),"")</f>
        <v/>
      </c>
      <c r="G10" s="31" t="n"/>
      <c r="H10" s="32" t="n"/>
      <c r="I10" s="29">
        <f>IF($A10="","",IF($A10='Day View'!$B$4,COUNTIFS($A$5:$A10,'Day View'!$B$4),""))</f>
        <v/>
      </c>
    </row>
    <row r="11">
      <c r="A11" s="30" t="n"/>
      <c r="B11" s="31" t="n"/>
      <c r="C11" s="31" t="n"/>
      <c r="D11" s="31">
        <f>IFERROR(INDEX('Exercise Library'!$B$6:$B$120,MATCH(C11,ExerciseNames,0)),"")</f>
        <v/>
      </c>
      <c r="E11" s="32">
        <f>IFERROR(INDEX('Exercise Library'!$E$6:$E$120,MATCH(C11,ExerciseNames,0)),"")</f>
        <v/>
      </c>
      <c r="F11" s="31">
        <f>IFERROR(INDEX('Exercise Library'!$F$6:$F$120,MATCH(C11,ExerciseNames,0)),"")</f>
        <v/>
      </c>
      <c r="G11" s="31" t="n"/>
      <c r="H11" s="32" t="n"/>
      <c r="I11" s="29">
        <f>IF($A11="","",IF($A11='Day View'!$B$4,COUNTIFS($A$5:$A11,'Day View'!$B$4),""))</f>
        <v/>
      </c>
    </row>
    <row r="12">
      <c r="A12" s="30" t="n"/>
      <c r="B12" s="31" t="n"/>
      <c r="C12" s="31" t="n"/>
      <c r="D12" s="31">
        <f>IFERROR(INDEX('Exercise Library'!$B$6:$B$120,MATCH(C12,ExerciseNames,0)),"")</f>
        <v/>
      </c>
      <c r="E12" s="32">
        <f>IFERROR(INDEX('Exercise Library'!$E$6:$E$120,MATCH(C12,ExerciseNames,0)),"")</f>
        <v/>
      </c>
      <c r="F12" s="31">
        <f>IFERROR(INDEX('Exercise Library'!$F$6:$F$120,MATCH(C12,ExerciseNames,0)),"")</f>
        <v/>
      </c>
      <c r="G12" s="31" t="n"/>
      <c r="H12" s="32" t="n"/>
      <c r="I12" s="29">
        <f>IF($A12="","",IF($A12='Day View'!$B$4,COUNTIFS($A$5:$A12,'Day View'!$B$4),""))</f>
        <v/>
      </c>
    </row>
    <row r="13">
      <c r="A13" s="30" t="n"/>
      <c r="B13" s="31" t="n"/>
      <c r="C13" s="31" t="n"/>
      <c r="D13" s="31">
        <f>IFERROR(INDEX('Exercise Library'!$B$6:$B$120,MATCH(C13,ExerciseNames,0)),"")</f>
        <v/>
      </c>
      <c r="E13" s="32">
        <f>IFERROR(INDEX('Exercise Library'!$E$6:$E$120,MATCH(C13,ExerciseNames,0)),"")</f>
        <v/>
      </c>
      <c r="F13" s="31">
        <f>IFERROR(INDEX('Exercise Library'!$F$6:$F$120,MATCH(C13,ExerciseNames,0)),"")</f>
        <v/>
      </c>
      <c r="G13" s="31" t="n"/>
      <c r="H13" s="32" t="n"/>
      <c r="I13" s="29">
        <f>IF($A13="","",IF($A13='Day View'!$B$4,COUNTIFS($A$5:$A13,'Day View'!$B$4),""))</f>
        <v/>
      </c>
    </row>
    <row r="14">
      <c r="A14" s="30" t="n"/>
      <c r="B14" s="31" t="n"/>
      <c r="C14" s="31" t="n"/>
      <c r="D14" s="31">
        <f>IFERROR(INDEX('Exercise Library'!$B$6:$B$120,MATCH(C14,ExerciseNames,0)),"")</f>
        <v/>
      </c>
      <c r="E14" s="32">
        <f>IFERROR(INDEX('Exercise Library'!$E$6:$E$120,MATCH(C14,ExerciseNames,0)),"")</f>
        <v/>
      </c>
      <c r="F14" s="31">
        <f>IFERROR(INDEX('Exercise Library'!$F$6:$F$120,MATCH(C14,ExerciseNames,0)),"")</f>
        <v/>
      </c>
      <c r="G14" s="31" t="n"/>
      <c r="H14" s="32" t="n"/>
      <c r="I14" s="29">
        <f>IF($A14="","",IF($A14='Day View'!$B$4,COUNTIFS($A$5:$A14,'Day View'!$B$4),""))</f>
        <v/>
      </c>
    </row>
    <row r="15">
      <c r="A15" s="30" t="n"/>
      <c r="B15" s="31" t="n"/>
      <c r="C15" s="31" t="n"/>
      <c r="D15" s="31">
        <f>IFERROR(INDEX('Exercise Library'!$B$6:$B$120,MATCH(C15,ExerciseNames,0)),"")</f>
        <v/>
      </c>
      <c r="E15" s="32">
        <f>IFERROR(INDEX('Exercise Library'!$E$6:$E$120,MATCH(C15,ExerciseNames,0)),"")</f>
        <v/>
      </c>
      <c r="F15" s="31">
        <f>IFERROR(INDEX('Exercise Library'!$F$6:$F$120,MATCH(C15,ExerciseNames,0)),"")</f>
        <v/>
      </c>
      <c r="G15" s="31" t="n"/>
      <c r="H15" s="32" t="n"/>
      <c r="I15" s="29">
        <f>IF($A15="","",IF($A15='Day View'!$B$4,COUNTIFS($A$5:$A15,'Day View'!$B$4),""))</f>
        <v/>
      </c>
    </row>
    <row r="16">
      <c r="A16" s="30" t="n"/>
      <c r="B16" s="31" t="n"/>
      <c r="C16" s="31" t="n"/>
      <c r="D16" s="31">
        <f>IFERROR(INDEX('Exercise Library'!$B$6:$B$120,MATCH(C16,ExerciseNames,0)),"")</f>
        <v/>
      </c>
      <c r="E16" s="32">
        <f>IFERROR(INDEX('Exercise Library'!$E$6:$E$120,MATCH(C16,ExerciseNames,0)),"")</f>
        <v/>
      </c>
      <c r="F16" s="31">
        <f>IFERROR(INDEX('Exercise Library'!$F$6:$F$120,MATCH(C16,ExerciseNames,0)),"")</f>
        <v/>
      </c>
      <c r="G16" s="31" t="n"/>
      <c r="H16" s="32" t="n"/>
      <c r="I16" s="29">
        <f>IF($A16="","",IF($A16='Day View'!$B$4,COUNTIFS($A$5:$A16,'Day View'!$B$4),""))</f>
        <v/>
      </c>
    </row>
    <row r="17">
      <c r="A17" s="30" t="n"/>
      <c r="B17" s="31" t="n"/>
      <c r="C17" s="31" t="n"/>
      <c r="D17" s="31">
        <f>IFERROR(INDEX('Exercise Library'!$B$6:$B$120,MATCH(C17,ExerciseNames,0)),"")</f>
        <v/>
      </c>
      <c r="E17" s="32">
        <f>IFERROR(INDEX('Exercise Library'!$E$6:$E$120,MATCH(C17,ExerciseNames,0)),"")</f>
        <v/>
      </c>
      <c r="F17" s="31">
        <f>IFERROR(INDEX('Exercise Library'!$F$6:$F$120,MATCH(C17,ExerciseNames,0)),"")</f>
        <v/>
      </c>
      <c r="G17" s="31" t="n"/>
      <c r="H17" s="32" t="n"/>
      <c r="I17" s="29">
        <f>IF($A17="","",IF($A17='Day View'!$B$4,COUNTIFS($A$5:$A17,'Day View'!$B$4),""))</f>
        <v/>
      </c>
    </row>
    <row r="18">
      <c r="A18" s="30" t="n"/>
      <c r="B18" s="31" t="n"/>
      <c r="C18" s="31" t="n"/>
      <c r="D18" s="31">
        <f>IFERROR(INDEX('Exercise Library'!$B$6:$B$120,MATCH(C18,ExerciseNames,0)),"")</f>
        <v/>
      </c>
      <c r="E18" s="32">
        <f>IFERROR(INDEX('Exercise Library'!$E$6:$E$120,MATCH(C18,ExerciseNames,0)),"")</f>
        <v/>
      </c>
      <c r="F18" s="31">
        <f>IFERROR(INDEX('Exercise Library'!$F$6:$F$120,MATCH(C18,ExerciseNames,0)),"")</f>
        <v/>
      </c>
      <c r="G18" s="31" t="n"/>
      <c r="H18" s="32" t="n"/>
      <c r="I18" s="29">
        <f>IF($A18="","",IF($A18='Day View'!$B$4,COUNTIFS($A$5:$A18,'Day View'!$B$4),""))</f>
        <v/>
      </c>
    </row>
    <row r="19">
      <c r="A19" s="30" t="n"/>
      <c r="B19" s="31" t="n"/>
      <c r="C19" s="31" t="n"/>
      <c r="D19" s="31">
        <f>IFERROR(INDEX('Exercise Library'!$B$6:$B$120,MATCH(C19,ExerciseNames,0)),"")</f>
        <v/>
      </c>
      <c r="E19" s="32">
        <f>IFERROR(INDEX('Exercise Library'!$E$6:$E$120,MATCH(C19,ExerciseNames,0)),"")</f>
        <v/>
      </c>
      <c r="F19" s="31">
        <f>IFERROR(INDEX('Exercise Library'!$F$6:$F$120,MATCH(C19,ExerciseNames,0)),"")</f>
        <v/>
      </c>
      <c r="G19" s="31" t="n"/>
      <c r="H19" s="32" t="n"/>
      <c r="I19" s="29">
        <f>IF($A19="","",IF($A19='Day View'!$B$4,COUNTIFS($A$5:$A19,'Day View'!$B$4),""))</f>
        <v/>
      </c>
    </row>
    <row r="20">
      <c r="A20" s="30" t="n"/>
      <c r="B20" s="31" t="n"/>
      <c r="C20" s="31" t="n"/>
      <c r="D20" s="31">
        <f>IFERROR(INDEX('Exercise Library'!$B$6:$B$120,MATCH(C20,ExerciseNames,0)),"")</f>
        <v/>
      </c>
      <c r="E20" s="32">
        <f>IFERROR(INDEX('Exercise Library'!$E$6:$E$120,MATCH(C20,ExerciseNames,0)),"")</f>
        <v/>
      </c>
      <c r="F20" s="31">
        <f>IFERROR(INDEX('Exercise Library'!$F$6:$F$120,MATCH(C20,ExerciseNames,0)),"")</f>
        <v/>
      </c>
      <c r="G20" s="31" t="n"/>
      <c r="H20" s="32" t="n"/>
      <c r="I20" s="29">
        <f>IF($A20="","",IF($A20='Day View'!$B$4,COUNTIFS($A$5:$A20,'Day View'!$B$4),""))</f>
        <v/>
      </c>
    </row>
    <row r="21">
      <c r="A21" s="30" t="n"/>
      <c r="B21" s="31" t="n"/>
      <c r="C21" s="31" t="n"/>
      <c r="D21" s="31">
        <f>IFERROR(INDEX('Exercise Library'!$B$6:$B$120,MATCH(C21,ExerciseNames,0)),"")</f>
        <v/>
      </c>
      <c r="E21" s="32">
        <f>IFERROR(INDEX('Exercise Library'!$E$6:$E$120,MATCH(C21,ExerciseNames,0)),"")</f>
        <v/>
      </c>
      <c r="F21" s="31">
        <f>IFERROR(INDEX('Exercise Library'!$F$6:$F$120,MATCH(C21,ExerciseNames,0)),"")</f>
        <v/>
      </c>
      <c r="G21" s="31" t="n"/>
      <c r="H21" s="32" t="n"/>
      <c r="I21" s="29">
        <f>IF($A21="","",IF($A21='Day View'!$B$4,COUNTIFS($A$5:$A21,'Day View'!$B$4),""))</f>
        <v/>
      </c>
    </row>
    <row r="22">
      <c r="A22" s="30" t="n"/>
      <c r="B22" s="31" t="n"/>
      <c r="C22" s="31" t="n"/>
      <c r="D22" s="31">
        <f>IFERROR(INDEX('Exercise Library'!$B$6:$B$120,MATCH(C22,ExerciseNames,0)),"")</f>
        <v/>
      </c>
      <c r="E22" s="32">
        <f>IFERROR(INDEX('Exercise Library'!$E$6:$E$120,MATCH(C22,ExerciseNames,0)),"")</f>
        <v/>
      </c>
      <c r="F22" s="31">
        <f>IFERROR(INDEX('Exercise Library'!$F$6:$F$120,MATCH(C22,ExerciseNames,0)),"")</f>
        <v/>
      </c>
      <c r="G22" s="31" t="n"/>
      <c r="H22" s="32" t="n"/>
      <c r="I22" s="29">
        <f>IF($A22="","",IF($A22='Day View'!$B$4,COUNTIFS($A$5:$A22,'Day View'!$B$4),""))</f>
        <v/>
      </c>
    </row>
    <row r="23">
      <c r="A23" s="30" t="n"/>
      <c r="B23" s="31" t="n"/>
      <c r="C23" s="31" t="n"/>
      <c r="D23" s="31">
        <f>IFERROR(INDEX('Exercise Library'!$B$6:$B$120,MATCH(C23,ExerciseNames,0)),"")</f>
        <v/>
      </c>
      <c r="E23" s="32">
        <f>IFERROR(INDEX('Exercise Library'!$E$6:$E$120,MATCH(C23,ExerciseNames,0)),"")</f>
        <v/>
      </c>
      <c r="F23" s="31">
        <f>IFERROR(INDEX('Exercise Library'!$F$6:$F$120,MATCH(C23,ExerciseNames,0)),"")</f>
        <v/>
      </c>
      <c r="G23" s="31" t="n"/>
      <c r="H23" s="32" t="n"/>
      <c r="I23" s="29">
        <f>IF($A23="","",IF($A23='Day View'!$B$4,COUNTIFS($A$5:$A23,'Day View'!$B$4),""))</f>
        <v/>
      </c>
    </row>
    <row r="24">
      <c r="A24" s="30" t="n"/>
      <c r="B24" s="31" t="n"/>
      <c r="C24" s="31" t="n"/>
      <c r="D24" s="31">
        <f>IFERROR(INDEX('Exercise Library'!$B$6:$B$120,MATCH(C24,ExerciseNames,0)),"")</f>
        <v/>
      </c>
      <c r="E24" s="32">
        <f>IFERROR(INDEX('Exercise Library'!$E$6:$E$120,MATCH(C24,ExerciseNames,0)),"")</f>
        <v/>
      </c>
      <c r="F24" s="31">
        <f>IFERROR(INDEX('Exercise Library'!$F$6:$F$120,MATCH(C24,ExerciseNames,0)),"")</f>
        <v/>
      </c>
      <c r="G24" s="31" t="n"/>
      <c r="H24" s="32" t="n"/>
      <c r="I24" s="29">
        <f>IF($A24="","",IF($A24='Day View'!$B$4,COUNTIFS($A$5:$A24,'Day View'!$B$4),""))</f>
        <v/>
      </c>
    </row>
    <row r="25">
      <c r="A25" s="30" t="n"/>
      <c r="B25" s="31" t="n"/>
      <c r="C25" s="31" t="n"/>
      <c r="D25" s="31">
        <f>IFERROR(INDEX('Exercise Library'!$B$6:$B$120,MATCH(C25,ExerciseNames,0)),"")</f>
        <v/>
      </c>
      <c r="E25" s="32">
        <f>IFERROR(INDEX('Exercise Library'!$E$6:$E$120,MATCH(C25,ExerciseNames,0)),"")</f>
        <v/>
      </c>
      <c r="F25" s="31">
        <f>IFERROR(INDEX('Exercise Library'!$F$6:$F$120,MATCH(C25,ExerciseNames,0)),"")</f>
        <v/>
      </c>
      <c r="G25" s="31" t="n"/>
      <c r="H25" s="32" t="n"/>
      <c r="I25" s="29">
        <f>IF($A25="","",IF($A25='Day View'!$B$4,COUNTIFS($A$5:$A25,'Day View'!$B$4),""))</f>
        <v/>
      </c>
    </row>
    <row r="26">
      <c r="A26" s="30" t="n"/>
      <c r="B26" s="31" t="n"/>
      <c r="C26" s="31" t="n"/>
      <c r="D26" s="31">
        <f>IFERROR(INDEX('Exercise Library'!$B$6:$B$120,MATCH(C26,ExerciseNames,0)),"")</f>
        <v/>
      </c>
      <c r="E26" s="32">
        <f>IFERROR(INDEX('Exercise Library'!$E$6:$E$120,MATCH(C26,ExerciseNames,0)),"")</f>
        <v/>
      </c>
      <c r="F26" s="31">
        <f>IFERROR(INDEX('Exercise Library'!$F$6:$F$120,MATCH(C26,ExerciseNames,0)),"")</f>
        <v/>
      </c>
      <c r="G26" s="31" t="n"/>
      <c r="H26" s="32" t="n"/>
      <c r="I26" s="29">
        <f>IF($A26="","",IF($A26='Day View'!$B$4,COUNTIFS($A$5:$A26,'Day View'!$B$4),""))</f>
        <v/>
      </c>
    </row>
    <row r="27">
      <c r="A27" s="30" t="n"/>
      <c r="B27" s="31" t="n"/>
      <c r="C27" s="31" t="n"/>
      <c r="D27" s="31">
        <f>IFERROR(INDEX('Exercise Library'!$B$6:$B$120,MATCH(C27,ExerciseNames,0)),"")</f>
        <v/>
      </c>
      <c r="E27" s="32">
        <f>IFERROR(INDEX('Exercise Library'!$E$6:$E$120,MATCH(C27,ExerciseNames,0)),"")</f>
        <v/>
      </c>
      <c r="F27" s="31">
        <f>IFERROR(INDEX('Exercise Library'!$F$6:$F$120,MATCH(C27,ExerciseNames,0)),"")</f>
        <v/>
      </c>
      <c r="G27" s="31" t="n"/>
      <c r="H27" s="32" t="n"/>
      <c r="I27" s="29">
        <f>IF($A27="","",IF($A27='Day View'!$B$4,COUNTIFS($A$5:$A27,'Day View'!$B$4),""))</f>
        <v/>
      </c>
    </row>
    <row r="28">
      <c r="A28" s="30" t="n"/>
      <c r="B28" s="31" t="n"/>
      <c r="C28" s="31" t="n"/>
      <c r="D28" s="31">
        <f>IFERROR(INDEX('Exercise Library'!$B$6:$B$120,MATCH(C28,ExerciseNames,0)),"")</f>
        <v/>
      </c>
      <c r="E28" s="32">
        <f>IFERROR(INDEX('Exercise Library'!$E$6:$E$120,MATCH(C28,ExerciseNames,0)),"")</f>
        <v/>
      </c>
      <c r="F28" s="31">
        <f>IFERROR(INDEX('Exercise Library'!$F$6:$F$120,MATCH(C28,ExerciseNames,0)),"")</f>
        <v/>
      </c>
      <c r="G28" s="31" t="n"/>
      <c r="H28" s="32" t="n"/>
      <c r="I28" s="29">
        <f>IF($A28="","",IF($A28='Day View'!$B$4,COUNTIFS($A$5:$A28,'Day View'!$B$4),""))</f>
        <v/>
      </c>
    </row>
    <row r="29">
      <c r="A29" s="30" t="n"/>
      <c r="B29" s="31" t="n"/>
      <c r="C29" s="31" t="n"/>
      <c r="D29" s="31">
        <f>IFERROR(INDEX('Exercise Library'!$B$6:$B$120,MATCH(C29,ExerciseNames,0)),"")</f>
        <v/>
      </c>
      <c r="E29" s="32">
        <f>IFERROR(INDEX('Exercise Library'!$E$6:$E$120,MATCH(C29,ExerciseNames,0)),"")</f>
        <v/>
      </c>
      <c r="F29" s="31">
        <f>IFERROR(INDEX('Exercise Library'!$F$6:$F$120,MATCH(C29,ExerciseNames,0)),"")</f>
        <v/>
      </c>
      <c r="G29" s="31" t="n"/>
      <c r="H29" s="32" t="n"/>
      <c r="I29" s="29">
        <f>IF($A29="","",IF($A29='Day View'!$B$4,COUNTIFS($A$5:$A29,'Day View'!$B$4),""))</f>
        <v/>
      </c>
    </row>
    <row r="30">
      <c r="A30" s="30" t="n"/>
      <c r="B30" s="31" t="n"/>
      <c r="C30" s="31" t="n"/>
      <c r="D30" s="31">
        <f>IFERROR(INDEX('Exercise Library'!$B$6:$B$120,MATCH(C30,ExerciseNames,0)),"")</f>
        <v/>
      </c>
      <c r="E30" s="32">
        <f>IFERROR(INDEX('Exercise Library'!$E$6:$E$120,MATCH(C30,ExerciseNames,0)),"")</f>
        <v/>
      </c>
      <c r="F30" s="31">
        <f>IFERROR(INDEX('Exercise Library'!$F$6:$F$120,MATCH(C30,ExerciseNames,0)),"")</f>
        <v/>
      </c>
      <c r="G30" s="31" t="n"/>
      <c r="H30" s="32" t="n"/>
      <c r="I30" s="29">
        <f>IF($A30="","",IF($A30='Day View'!$B$4,COUNTIFS($A$5:$A30,'Day View'!$B$4),""))</f>
        <v/>
      </c>
    </row>
    <row r="31">
      <c r="A31" s="30" t="n"/>
      <c r="B31" s="31" t="n"/>
      <c r="C31" s="31" t="n"/>
      <c r="D31" s="31">
        <f>IFERROR(INDEX('Exercise Library'!$B$6:$B$120,MATCH(C31,ExerciseNames,0)),"")</f>
        <v/>
      </c>
      <c r="E31" s="32">
        <f>IFERROR(INDEX('Exercise Library'!$E$6:$E$120,MATCH(C31,ExerciseNames,0)),"")</f>
        <v/>
      </c>
      <c r="F31" s="31">
        <f>IFERROR(INDEX('Exercise Library'!$F$6:$F$120,MATCH(C31,ExerciseNames,0)),"")</f>
        <v/>
      </c>
      <c r="G31" s="31" t="n"/>
      <c r="H31" s="32" t="n"/>
      <c r="I31" s="29">
        <f>IF($A31="","",IF($A31='Day View'!$B$4,COUNTIFS($A$5:$A31,'Day View'!$B$4),""))</f>
        <v/>
      </c>
    </row>
    <row r="32">
      <c r="A32" s="30" t="n"/>
      <c r="B32" s="31" t="n"/>
      <c r="C32" s="31" t="n"/>
      <c r="D32" s="31">
        <f>IFERROR(INDEX('Exercise Library'!$B$6:$B$120,MATCH(C32,ExerciseNames,0)),"")</f>
        <v/>
      </c>
      <c r="E32" s="32">
        <f>IFERROR(INDEX('Exercise Library'!$E$6:$E$120,MATCH(C32,ExerciseNames,0)),"")</f>
        <v/>
      </c>
      <c r="F32" s="31">
        <f>IFERROR(INDEX('Exercise Library'!$F$6:$F$120,MATCH(C32,ExerciseNames,0)),"")</f>
        <v/>
      </c>
      <c r="G32" s="31" t="n"/>
      <c r="H32" s="32" t="n"/>
      <c r="I32" s="29">
        <f>IF($A32="","",IF($A32='Day View'!$B$4,COUNTIFS($A$5:$A32,'Day View'!$B$4),""))</f>
        <v/>
      </c>
    </row>
    <row r="33">
      <c r="A33" s="30" t="n"/>
      <c r="B33" s="31" t="n"/>
      <c r="C33" s="31" t="n"/>
      <c r="D33" s="31">
        <f>IFERROR(INDEX('Exercise Library'!$B$6:$B$120,MATCH(C33,ExerciseNames,0)),"")</f>
        <v/>
      </c>
      <c r="E33" s="32">
        <f>IFERROR(INDEX('Exercise Library'!$E$6:$E$120,MATCH(C33,ExerciseNames,0)),"")</f>
        <v/>
      </c>
      <c r="F33" s="31">
        <f>IFERROR(INDEX('Exercise Library'!$F$6:$F$120,MATCH(C33,ExerciseNames,0)),"")</f>
        <v/>
      </c>
      <c r="G33" s="31" t="n"/>
      <c r="H33" s="32" t="n"/>
      <c r="I33" s="29">
        <f>IF($A33="","",IF($A33='Day View'!$B$4,COUNTIFS($A$5:$A33,'Day View'!$B$4),""))</f>
        <v/>
      </c>
    </row>
    <row r="34">
      <c r="A34" s="30" t="n"/>
      <c r="B34" s="31" t="n"/>
      <c r="C34" s="31" t="n"/>
      <c r="D34" s="31">
        <f>IFERROR(INDEX('Exercise Library'!$B$6:$B$120,MATCH(C34,ExerciseNames,0)),"")</f>
        <v/>
      </c>
      <c r="E34" s="32">
        <f>IFERROR(INDEX('Exercise Library'!$E$6:$E$120,MATCH(C34,ExerciseNames,0)),"")</f>
        <v/>
      </c>
      <c r="F34" s="31">
        <f>IFERROR(INDEX('Exercise Library'!$F$6:$F$120,MATCH(C34,ExerciseNames,0)),"")</f>
        <v/>
      </c>
      <c r="G34" s="31" t="n"/>
      <c r="H34" s="32" t="n"/>
      <c r="I34" s="29">
        <f>IF($A34="","",IF($A34='Day View'!$B$4,COUNTIFS($A$5:$A34,'Day View'!$B$4),""))</f>
        <v/>
      </c>
    </row>
    <row r="35">
      <c r="A35" s="30" t="n"/>
      <c r="B35" s="31" t="n"/>
      <c r="C35" s="31" t="n"/>
      <c r="D35" s="31">
        <f>IFERROR(INDEX('Exercise Library'!$B$6:$B$120,MATCH(C35,ExerciseNames,0)),"")</f>
        <v/>
      </c>
      <c r="E35" s="32">
        <f>IFERROR(INDEX('Exercise Library'!$E$6:$E$120,MATCH(C35,ExerciseNames,0)),"")</f>
        <v/>
      </c>
      <c r="F35" s="31">
        <f>IFERROR(INDEX('Exercise Library'!$F$6:$F$120,MATCH(C35,ExerciseNames,0)),"")</f>
        <v/>
      </c>
      <c r="G35" s="31" t="n"/>
      <c r="H35" s="32" t="n"/>
      <c r="I35" s="29">
        <f>IF($A35="","",IF($A35='Day View'!$B$4,COUNTIFS($A$5:$A35,'Day View'!$B$4),""))</f>
        <v/>
      </c>
    </row>
    <row r="36">
      <c r="A36" s="30" t="n"/>
      <c r="B36" s="31" t="n"/>
      <c r="C36" s="31" t="n"/>
      <c r="D36" s="31">
        <f>IFERROR(INDEX('Exercise Library'!$B$6:$B$120,MATCH(C36,ExerciseNames,0)),"")</f>
        <v/>
      </c>
      <c r="E36" s="32">
        <f>IFERROR(INDEX('Exercise Library'!$E$6:$E$120,MATCH(C36,ExerciseNames,0)),"")</f>
        <v/>
      </c>
      <c r="F36" s="31">
        <f>IFERROR(INDEX('Exercise Library'!$F$6:$F$120,MATCH(C36,ExerciseNames,0)),"")</f>
        <v/>
      </c>
      <c r="G36" s="31" t="n"/>
      <c r="H36" s="32" t="n"/>
      <c r="I36" s="29">
        <f>IF($A36="","",IF($A36='Day View'!$B$4,COUNTIFS($A$5:$A36,'Day View'!$B$4),""))</f>
        <v/>
      </c>
    </row>
    <row r="37">
      <c r="A37" s="30" t="n"/>
      <c r="B37" s="31" t="n"/>
      <c r="C37" s="31" t="n"/>
      <c r="D37" s="31">
        <f>IFERROR(INDEX('Exercise Library'!$B$6:$B$120,MATCH(C37,ExerciseNames,0)),"")</f>
        <v/>
      </c>
      <c r="E37" s="32">
        <f>IFERROR(INDEX('Exercise Library'!$E$6:$E$120,MATCH(C37,ExerciseNames,0)),"")</f>
        <v/>
      </c>
      <c r="F37" s="31">
        <f>IFERROR(INDEX('Exercise Library'!$F$6:$F$120,MATCH(C37,ExerciseNames,0)),"")</f>
        <v/>
      </c>
      <c r="G37" s="31" t="n"/>
      <c r="H37" s="32" t="n"/>
      <c r="I37" s="29">
        <f>IF($A37="","",IF($A37='Day View'!$B$4,COUNTIFS($A$5:$A37,'Day View'!$B$4),""))</f>
        <v/>
      </c>
    </row>
    <row r="38">
      <c r="A38" s="30" t="n"/>
      <c r="B38" s="31" t="n"/>
      <c r="C38" s="31" t="n"/>
      <c r="D38" s="31">
        <f>IFERROR(INDEX('Exercise Library'!$B$6:$B$120,MATCH(C38,ExerciseNames,0)),"")</f>
        <v/>
      </c>
      <c r="E38" s="32">
        <f>IFERROR(INDEX('Exercise Library'!$E$6:$E$120,MATCH(C38,ExerciseNames,0)),"")</f>
        <v/>
      </c>
      <c r="F38" s="31">
        <f>IFERROR(INDEX('Exercise Library'!$F$6:$F$120,MATCH(C38,ExerciseNames,0)),"")</f>
        <v/>
      </c>
      <c r="G38" s="31" t="n"/>
      <c r="H38" s="32" t="n"/>
      <c r="I38" s="29">
        <f>IF($A38="","",IF($A38='Day View'!$B$4,COUNTIFS($A$5:$A38,'Day View'!$B$4),""))</f>
        <v/>
      </c>
    </row>
    <row r="39">
      <c r="A39" s="30" t="n"/>
      <c r="B39" s="31" t="n"/>
      <c r="C39" s="31" t="n"/>
      <c r="D39" s="31">
        <f>IFERROR(INDEX('Exercise Library'!$B$6:$B$120,MATCH(C39,ExerciseNames,0)),"")</f>
        <v/>
      </c>
      <c r="E39" s="32">
        <f>IFERROR(INDEX('Exercise Library'!$E$6:$E$120,MATCH(C39,ExerciseNames,0)),"")</f>
        <v/>
      </c>
      <c r="F39" s="31">
        <f>IFERROR(INDEX('Exercise Library'!$F$6:$F$120,MATCH(C39,ExerciseNames,0)),"")</f>
        <v/>
      </c>
      <c r="G39" s="31" t="n"/>
      <c r="H39" s="32" t="n"/>
      <c r="I39" s="29">
        <f>IF($A39="","",IF($A39='Day View'!$B$4,COUNTIFS($A$5:$A39,'Day View'!$B$4),""))</f>
        <v/>
      </c>
    </row>
    <row r="40">
      <c r="A40" s="30" t="n"/>
      <c r="B40" s="31" t="n"/>
      <c r="C40" s="31" t="n"/>
      <c r="D40" s="31">
        <f>IFERROR(INDEX('Exercise Library'!$B$6:$B$120,MATCH(C40,ExerciseNames,0)),"")</f>
        <v/>
      </c>
      <c r="E40" s="32">
        <f>IFERROR(INDEX('Exercise Library'!$E$6:$E$120,MATCH(C40,ExerciseNames,0)),"")</f>
        <v/>
      </c>
      <c r="F40" s="31">
        <f>IFERROR(INDEX('Exercise Library'!$F$6:$F$120,MATCH(C40,ExerciseNames,0)),"")</f>
        <v/>
      </c>
      <c r="G40" s="31" t="n"/>
      <c r="H40" s="32" t="n"/>
      <c r="I40" s="29">
        <f>IF($A40="","",IF($A40='Day View'!$B$4,COUNTIFS($A$5:$A40,'Day View'!$B$4),""))</f>
        <v/>
      </c>
    </row>
    <row r="41">
      <c r="A41" s="30" t="n"/>
      <c r="B41" s="31" t="n"/>
      <c r="C41" s="31" t="n"/>
      <c r="D41" s="31">
        <f>IFERROR(INDEX('Exercise Library'!$B$6:$B$120,MATCH(C41,ExerciseNames,0)),"")</f>
        <v/>
      </c>
      <c r="E41" s="32">
        <f>IFERROR(INDEX('Exercise Library'!$E$6:$E$120,MATCH(C41,ExerciseNames,0)),"")</f>
        <v/>
      </c>
      <c r="F41" s="31">
        <f>IFERROR(INDEX('Exercise Library'!$F$6:$F$120,MATCH(C41,ExerciseNames,0)),"")</f>
        <v/>
      </c>
      <c r="G41" s="31" t="n"/>
      <c r="H41" s="32" t="n"/>
      <c r="I41" s="29">
        <f>IF($A41="","",IF($A41='Day View'!$B$4,COUNTIFS($A$5:$A41,'Day View'!$B$4),""))</f>
        <v/>
      </c>
    </row>
    <row r="42">
      <c r="A42" s="30" t="n"/>
      <c r="B42" s="31" t="n"/>
      <c r="C42" s="31" t="n"/>
      <c r="D42" s="31">
        <f>IFERROR(INDEX('Exercise Library'!$B$6:$B$120,MATCH(C42,ExerciseNames,0)),"")</f>
        <v/>
      </c>
      <c r="E42" s="32">
        <f>IFERROR(INDEX('Exercise Library'!$E$6:$E$120,MATCH(C42,ExerciseNames,0)),"")</f>
        <v/>
      </c>
      <c r="F42" s="31">
        <f>IFERROR(INDEX('Exercise Library'!$F$6:$F$120,MATCH(C42,ExerciseNames,0)),"")</f>
        <v/>
      </c>
      <c r="G42" s="31" t="n"/>
      <c r="H42" s="32" t="n"/>
      <c r="I42" s="29">
        <f>IF($A42="","",IF($A42='Day View'!$B$4,COUNTIFS($A$5:$A42,'Day View'!$B$4),""))</f>
        <v/>
      </c>
    </row>
    <row r="43">
      <c r="A43" s="30" t="n"/>
      <c r="B43" s="31" t="n"/>
      <c r="C43" s="31" t="n"/>
      <c r="D43" s="31">
        <f>IFERROR(INDEX('Exercise Library'!$B$6:$B$120,MATCH(C43,ExerciseNames,0)),"")</f>
        <v/>
      </c>
      <c r="E43" s="32">
        <f>IFERROR(INDEX('Exercise Library'!$E$6:$E$120,MATCH(C43,ExerciseNames,0)),"")</f>
        <v/>
      </c>
      <c r="F43" s="31">
        <f>IFERROR(INDEX('Exercise Library'!$F$6:$F$120,MATCH(C43,ExerciseNames,0)),"")</f>
        <v/>
      </c>
      <c r="G43" s="31" t="n"/>
      <c r="H43" s="32" t="n"/>
      <c r="I43" s="29">
        <f>IF($A43="","",IF($A43='Day View'!$B$4,COUNTIFS($A$5:$A43,'Day View'!$B$4),""))</f>
        <v/>
      </c>
    </row>
    <row r="44">
      <c r="A44" s="30" t="n"/>
      <c r="B44" s="31" t="n"/>
      <c r="C44" s="31" t="n"/>
      <c r="D44" s="31">
        <f>IFERROR(INDEX('Exercise Library'!$B$6:$B$120,MATCH(C44,ExerciseNames,0)),"")</f>
        <v/>
      </c>
      <c r="E44" s="32">
        <f>IFERROR(INDEX('Exercise Library'!$E$6:$E$120,MATCH(C44,ExerciseNames,0)),"")</f>
        <v/>
      </c>
      <c r="F44" s="31">
        <f>IFERROR(INDEX('Exercise Library'!$F$6:$F$120,MATCH(C44,ExerciseNames,0)),"")</f>
        <v/>
      </c>
      <c r="G44" s="31" t="n"/>
      <c r="H44" s="32" t="n"/>
      <c r="I44" s="29">
        <f>IF($A44="","",IF($A44='Day View'!$B$4,COUNTIFS($A$5:$A44,'Day View'!$B$4),""))</f>
        <v/>
      </c>
    </row>
    <row r="45">
      <c r="A45" s="30" t="n"/>
      <c r="B45" s="31" t="n"/>
      <c r="C45" s="31" t="n"/>
      <c r="D45" s="31">
        <f>IFERROR(INDEX('Exercise Library'!$B$6:$B$120,MATCH(C45,ExerciseNames,0)),"")</f>
        <v/>
      </c>
      <c r="E45" s="32">
        <f>IFERROR(INDEX('Exercise Library'!$E$6:$E$120,MATCH(C45,ExerciseNames,0)),"")</f>
        <v/>
      </c>
      <c r="F45" s="31">
        <f>IFERROR(INDEX('Exercise Library'!$F$6:$F$120,MATCH(C45,ExerciseNames,0)),"")</f>
        <v/>
      </c>
      <c r="G45" s="31" t="n"/>
      <c r="H45" s="32" t="n"/>
      <c r="I45" s="29">
        <f>IF($A45="","",IF($A45='Day View'!$B$4,COUNTIFS($A$5:$A45,'Day View'!$B$4),""))</f>
        <v/>
      </c>
    </row>
    <row r="46">
      <c r="A46" s="30" t="n"/>
      <c r="B46" s="31" t="n"/>
      <c r="C46" s="31" t="n"/>
      <c r="D46" s="31">
        <f>IFERROR(INDEX('Exercise Library'!$B$6:$B$120,MATCH(C46,ExerciseNames,0)),"")</f>
        <v/>
      </c>
      <c r="E46" s="32">
        <f>IFERROR(INDEX('Exercise Library'!$E$6:$E$120,MATCH(C46,ExerciseNames,0)),"")</f>
        <v/>
      </c>
      <c r="F46" s="31">
        <f>IFERROR(INDEX('Exercise Library'!$F$6:$F$120,MATCH(C46,ExerciseNames,0)),"")</f>
        <v/>
      </c>
      <c r="G46" s="31" t="n"/>
      <c r="H46" s="32" t="n"/>
      <c r="I46" s="29">
        <f>IF($A46="","",IF($A46='Day View'!$B$4,COUNTIFS($A$5:$A46,'Day View'!$B$4),""))</f>
        <v/>
      </c>
    </row>
    <row r="47">
      <c r="A47" s="30" t="n"/>
      <c r="B47" s="31" t="n"/>
      <c r="C47" s="31" t="n"/>
      <c r="D47" s="31">
        <f>IFERROR(INDEX('Exercise Library'!$B$6:$B$120,MATCH(C47,ExerciseNames,0)),"")</f>
        <v/>
      </c>
      <c r="E47" s="32">
        <f>IFERROR(INDEX('Exercise Library'!$E$6:$E$120,MATCH(C47,ExerciseNames,0)),"")</f>
        <v/>
      </c>
      <c r="F47" s="31">
        <f>IFERROR(INDEX('Exercise Library'!$F$6:$F$120,MATCH(C47,ExerciseNames,0)),"")</f>
        <v/>
      </c>
      <c r="G47" s="31" t="n"/>
      <c r="H47" s="32" t="n"/>
      <c r="I47" s="29">
        <f>IF($A47="","",IF($A47='Day View'!$B$4,COUNTIFS($A$5:$A47,'Day View'!$B$4),""))</f>
        <v/>
      </c>
    </row>
    <row r="48">
      <c r="A48" s="30" t="n"/>
      <c r="B48" s="31" t="n"/>
      <c r="C48" s="31" t="n"/>
      <c r="D48" s="31">
        <f>IFERROR(INDEX('Exercise Library'!$B$6:$B$120,MATCH(C48,ExerciseNames,0)),"")</f>
        <v/>
      </c>
      <c r="E48" s="32">
        <f>IFERROR(INDEX('Exercise Library'!$E$6:$E$120,MATCH(C48,ExerciseNames,0)),"")</f>
        <v/>
      </c>
      <c r="F48" s="31">
        <f>IFERROR(INDEX('Exercise Library'!$F$6:$F$120,MATCH(C48,ExerciseNames,0)),"")</f>
        <v/>
      </c>
      <c r="G48" s="31" t="n"/>
      <c r="H48" s="32" t="n"/>
      <c r="I48" s="29">
        <f>IF($A48="","",IF($A48='Day View'!$B$4,COUNTIFS($A$5:$A48,'Day View'!$B$4),""))</f>
        <v/>
      </c>
    </row>
    <row r="49">
      <c r="A49" s="30" t="n"/>
      <c r="B49" s="31" t="n"/>
      <c r="C49" s="31" t="n"/>
      <c r="D49" s="31">
        <f>IFERROR(INDEX('Exercise Library'!$B$6:$B$120,MATCH(C49,ExerciseNames,0)),"")</f>
        <v/>
      </c>
      <c r="E49" s="32">
        <f>IFERROR(INDEX('Exercise Library'!$E$6:$E$120,MATCH(C49,ExerciseNames,0)),"")</f>
        <v/>
      </c>
      <c r="F49" s="31">
        <f>IFERROR(INDEX('Exercise Library'!$F$6:$F$120,MATCH(C49,ExerciseNames,0)),"")</f>
        <v/>
      </c>
      <c r="G49" s="31" t="n"/>
      <c r="H49" s="32" t="n"/>
      <c r="I49" s="29">
        <f>IF($A49="","",IF($A49='Day View'!$B$4,COUNTIFS($A$5:$A49,'Day View'!$B$4),""))</f>
        <v/>
      </c>
    </row>
    <row r="50">
      <c r="A50" s="30" t="n"/>
      <c r="B50" s="31" t="n"/>
      <c r="C50" s="31" t="n"/>
      <c r="D50" s="31">
        <f>IFERROR(INDEX('Exercise Library'!$B$6:$B$120,MATCH(C50,ExerciseNames,0)),"")</f>
        <v/>
      </c>
      <c r="E50" s="32">
        <f>IFERROR(INDEX('Exercise Library'!$E$6:$E$120,MATCH(C50,ExerciseNames,0)),"")</f>
        <v/>
      </c>
      <c r="F50" s="31">
        <f>IFERROR(INDEX('Exercise Library'!$F$6:$F$120,MATCH(C50,ExerciseNames,0)),"")</f>
        <v/>
      </c>
      <c r="G50" s="31" t="n"/>
      <c r="H50" s="32" t="n"/>
      <c r="I50" s="29">
        <f>IF($A50="","",IF($A50='Day View'!$B$4,COUNTIFS($A$5:$A50,'Day View'!$B$4),""))</f>
        <v/>
      </c>
    </row>
    <row r="51">
      <c r="A51" s="30" t="n"/>
      <c r="B51" s="31" t="n"/>
      <c r="C51" s="31" t="n"/>
      <c r="D51" s="31">
        <f>IFERROR(INDEX('Exercise Library'!$B$6:$B$120,MATCH(C51,ExerciseNames,0)),"")</f>
        <v/>
      </c>
      <c r="E51" s="32">
        <f>IFERROR(INDEX('Exercise Library'!$E$6:$E$120,MATCH(C51,ExerciseNames,0)),"")</f>
        <v/>
      </c>
      <c r="F51" s="31">
        <f>IFERROR(INDEX('Exercise Library'!$F$6:$F$120,MATCH(C51,ExerciseNames,0)),"")</f>
        <v/>
      </c>
      <c r="G51" s="31" t="n"/>
      <c r="H51" s="32" t="n"/>
      <c r="I51" s="29">
        <f>IF($A51="","",IF($A51='Day View'!$B$4,COUNTIFS($A$5:$A51,'Day View'!$B$4),""))</f>
        <v/>
      </c>
    </row>
    <row r="52">
      <c r="A52" s="30" t="n"/>
      <c r="B52" s="31" t="n"/>
      <c r="C52" s="31" t="n"/>
      <c r="D52" s="31">
        <f>IFERROR(INDEX('Exercise Library'!$B$6:$B$120,MATCH(C52,ExerciseNames,0)),"")</f>
        <v/>
      </c>
      <c r="E52" s="32">
        <f>IFERROR(INDEX('Exercise Library'!$E$6:$E$120,MATCH(C52,ExerciseNames,0)),"")</f>
        <v/>
      </c>
      <c r="F52" s="31">
        <f>IFERROR(INDEX('Exercise Library'!$F$6:$F$120,MATCH(C52,ExerciseNames,0)),"")</f>
        <v/>
      </c>
      <c r="G52" s="31" t="n"/>
      <c r="H52" s="32" t="n"/>
      <c r="I52" s="29">
        <f>IF($A52="","",IF($A52='Day View'!$B$4,COUNTIFS($A$5:$A52,'Day View'!$B$4),""))</f>
        <v/>
      </c>
    </row>
    <row r="53">
      <c r="A53" s="30" t="n"/>
      <c r="B53" s="31" t="n"/>
      <c r="C53" s="31" t="n"/>
      <c r="D53" s="31">
        <f>IFERROR(INDEX('Exercise Library'!$B$6:$B$120,MATCH(C53,ExerciseNames,0)),"")</f>
        <v/>
      </c>
      <c r="E53" s="32">
        <f>IFERROR(INDEX('Exercise Library'!$E$6:$E$120,MATCH(C53,ExerciseNames,0)),"")</f>
        <v/>
      </c>
      <c r="F53" s="31">
        <f>IFERROR(INDEX('Exercise Library'!$F$6:$F$120,MATCH(C53,ExerciseNames,0)),"")</f>
        <v/>
      </c>
      <c r="G53" s="31" t="n"/>
      <c r="H53" s="32" t="n"/>
      <c r="I53" s="29">
        <f>IF($A53="","",IF($A53='Day View'!$B$4,COUNTIFS($A$5:$A53,'Day View'!$B$4),""))</f>
        <v/>
      </c>
    </row>
    <row r="54">
      <c r="A54" s="30" t="n"/>
      <c r="B54" s="31" t="n"/>
      <c r="C54" s="31" t="n"/>
      <c r="D54" s="31">
        <f>IFERROR(INDEX('Exercise Library'!$B$6:$B$120,MATCH(C54,ExerciseNames,0)),"")</f>
        <v/>
      </c>
      <c r="E54" s="32">
        <f>IFERROR(INDEX('Exercise Library'!$E$6:$E$120,MATCH(C54,ExerciseNames,0)),"")</f>
        <v/>
      </c>
      <c r="F54" s="31">
        <f>IFERROR(INDEX('Exercise Library'!$F$6:$F$120,MATCH(C54,ExerciseNames,0)),"")</f>
        <v/>
      </c>
      <c r="G54" s="31" t="n"/>
      <c r="H54" s="32" t="n"/>
      <c r="I54" s="29">
        <f>IF($A54="","",IF($A54='Day View'!$B$4,COUNTIFS($A$5:$A54,'Day View'!$B$4),""))</f>
        <v/>
      </c>
    </row>
    <row r="55">
      <c r="A55" s="30" t="n"/>
      <c r="B55" s="31" t="n"/>
      <c r="C55" s="31" t="n"/>
      <c r="D55" s="31">
        <f>IFERROR(INDEX('Exercise Library'!$B$6:$B$120,MATCH(C55,ExerciseNames,0)),"")</f>
        <v/>
      </c>
      <c r="E55" s="32">
        <f>IFERROR(INDEX('Exercise Library'!$E$6:$E$120,MATCH(C55,ExerciseNames,0)),"")</f>
        <v/>
      </c>
      <c r="F55" s="31">
        <f>IFERROR(INDEX('Exercise Library'!$F$6:$F$120,MATCH(C55,ExerciseNames,0)),"")</f>
        <v/>
      </c>
      <c r="G55" s="31" t="n"/>
      <c r="H55" s="32" t="n"/>
      <c r="I55" s="29">
        <f>IF($A55="","",IF($A55='Day View'!$B$4,COUNTIFS($A$5:$A55,'Day View'!$B$4),""))</f>
        <v/>
      </c>
    </row>
    <row r="56">
      <c r="A56" s="30" t="n"/>
      <c r="B56" s="31" t="n"/>
      <c r="C56" s="31" t="n"/>
      <c r="D56" s="31">
        <f>IFERROR(INDEX('Exercise Library'!$B$6:$B$120,MATCH(C56,ExerciseNames,0)),"")</f>
        <v/>
      </c>
      <c r="E56" s="32">
        <f>IFERROR(INDEX('Exercise Library'!$E$6:$E$120,MATCH(C56,ExerciseNames,0)),"")</f>
        <v/>
      </c>
      <c r="F56" s="31">
        <f>IFERROR(INDEX('Exercise Library'!$F$6:$F$120,MATCH(C56,ExerciseNames,0)),"")</f>
        <v/>
      </c>
      <c r="G56" s="31" t="n"/>
      <c r="H56" s="32" t="n"/>
      <c r="I56" s="29">
        <f>IF($A56="","",IF($A56='Day View'!$B$4,COUNTIFS($A$5:$A56,'Day View'!$B$4),""))</f>
        <v/>
      </c>
    </row>
    <row r="57">
      <c r="A57" s="30" t="n"/>
      <c r="B57" s="31" t="n"/>
      <c r="C57" s="31" t="n"/>
      <c r="D57" s="31">
        <f>IFERROR(INDEX('Exercise Library'!$B$6:$B$120,MATCH(C57,ExerciseNames,0)),"")</f>
        <v/>
      </c>
      <c r="E57" s="32">
        <f>IFERROR(INDEX('Exercise Library'!$E$6:$E$120,MATCH(C57,ExerciseNames,0)),"")</f>
        <v/>
      </c>
      <c r="F57" s="31">
        <f>IFERROR(INDEX('Exercise Library'!$F$6:$F$120,MATCH(C57,ExerciseNames,0)),"")</f>
        <v/>
      </c>
      <c r="G57" s="31" t="n"/>
      <c r="H57" s="32" t="n"/>
      <c r="I57" s="29">
        <f>IF($A57="","",IF($A57='Day View'!$B$4,COUNTIFS($A$5:$A57,'Day View'!$B$4),""))</f>
        <v/>
      </c>
    </row>
    <row r="58">
      <c r="A58" s="30" t="n"/>
      <c r="B58" s="31" t="n"/>
      <c r="C58" s="31" t="n"/>
      <c r="D58" s="31">
        <f>IFERROR(INDEX('Exercise Library'!$B$6:$B$120,MATCH(C58,ExerciseNames,0)),"")</f>
        <v/>
      </c>
      <c r="E58" s="32">
        <f>IFERROR(INDEX('Exercise Library'!$E$6:$E$120,MATCH(C58,ExerciseNames,0)),"")</f>
        <v/>
      </c>
      <c r="F58" s="31">
        <f>IFERROR(INDEX('Exercise Library'!$F$6:$F$120,MATCH(C58,ExerciseNames,0)),"")</f>
        <v/>
      </c>
      <c r="G58" s="31" t="n"/>
      <c r="H58" s="32" t="n"/>
      <c r="I58" s="29">
        <f>IF($A58="","",IF($A58='Day View'!$B$4,COUNTIFS($A$5:$A58,'Day View'!$B$4),""))</f>
        <v/>
      </c>
    </row>
    <row r="59">
      <c r="A59" s="30" t="n"/>
      <c r="B59" s="31" t="n"/>
      <c r="C59" s="31" t="n"/>
      <c r="D59" s="31">
        <f>IFERROR(INDEX('Exercise Library'!$B$6:$B$120,MATCH(C59,ExerciseNames,0)),"")</f>
        <v/>
      </c>
      <c r="E59" s="32">
        <f>IFERROR(INDEX('Exercise Library'!$E$6:$E$120,MATCH(C59,ExerciseNames,0)),"")</f>
        <v/>
      </c>
      <c r="F59" s="31">
        <f>IFERROR(INDEX('Exercise Library'!$F$6:$F$120,MATCH(C59,ExerciseNames,0)),"")</f>
        <v/>
      </c>
      <c r="G59" s="31" t="n"/>
      <c r="H59" s="32" t="n"/>
      <c r="I59" s="29">
        <f>IF($A59="","",IF($A59='Day View'!$B$4,COUNTIFS($A$5:$A59,'Day View'!$B$4),""))</f>
        <v/>
      </c>
    </row>
    <row r="60">
      <c r="A60" s="30" t="n"/>
      <c r="B60" s="31" t="n"/>
      <c r="C60" s="31" t="n"/>
      <c r="D60" s="31">
        <f>IFERROR(INDEX('Exercise Library'!$B$6:$B$120,MATCH(C60,ExerciseNames,0)),"")</f>
        <v/>
      </c>
      <c r="E60" s="32">
        <f>IFERROR(INDEX('Exercise Library'!$E$6:$E$120,MATCH(C60,ExerciseNames,0)),"")</f>
        <v/>
      </c>
      <c r="F60" s="31">
        <f>IFERROR(INDEX('Exercise Library'!$F$6:$F$120,MATCH(C60,ExerciseNames,0)),"")</f>
        <v/>
      </c>
      <c r="G60" s="31" t="n"/>
      <c r="H60" s="32" t="n"/>
      <c r="I60" s="29">
        <f>IF($A60="","",IF($A60='Day View'!$B$4,COUNTIFS($A$5:$A60,'Day View'!$B$4),""))</f>
        <v/>
      </c>
    </row>
    <row r="61">
      <c r="A61" s="30" t="n"/>
      <c r="B61" s="31" t="n"/>
      <c r="C61" s="31" t="n"/>
      <c r="D61" s="31">
        <f>IFERROR(INDEX('Exercise Library'!$B$6:$B$120,MATCH(C61,ExerciseNames,0)),"")</f>
        <v/>
      </c>
      <c r="E61" s="32">
        <f>IFERROR(INDEX('Exercise Library'!$E$6:$E$120,MATCH(C61,ExerciseNames,0)),"")</f>
        <v/>
      </c>
      <c r="F61" s="31">
        <f>IFERROR(INDEX('Exercise Library'!$F$6:$F$120,MATCH(C61,ExerciseNames,0)),"")</f>
        <v/>
      </c>
      <c r="G61" s="31" t="n"/>
      <c r="H61" s="32" t="n"/>
      <c r="I61" s="29">
        <f>IF($A61="","",IF($A61='Day View'!$B$4,COUNTIFS($A$5:$A61,'Day View'!$B$4),""))</f>
        <v/>
      </c>
    </row>
    <row r="62">
      <c r="A62" s="30" t="n"/>
      <c r="B62" s="31" t="n"/>
      <c r="C62" s="31" t="n"/>
      <c r="D62" s="31">
        <f>IFERROR(INDEX('Exercise Library'!$B$6:$B$120,MATCH(C62,ExerciseNames,0)),"")</f>
        <v/>
      </c>
      <c r="E62" s="32">
        <f>IFERROR(INDEX('Exercise Library'!$E$6:$E$120,MATCH(C62,ExerciseNames,0)),"")</f>
        <v/>
      </c>
      <c r="F62" s="31">
        <f>IFERROR(INDEX('Exercise Library'!$F$6:$F$120,MATCH(C62,ExerciseNames,0)),"")</f>
        <v/>
      </c>
      <c r="G62" s="31" t="n"/>
      <c r="H62" s="32" t="n"/>
      <c r="I62" s="29">
        <f>IF($A62="","",IF($A62='Day View'!$B$4,COUNTIFS($A$5:$A62,'Day View'!$B$4),""))</f>
        <v/>
      </c>
    </row>
    <row r="63">
      <c r="A63" s="30" t="n"/>
      <c r="B63" s="31" t="n"/>
      <c r="C63" s="31" t="n"/>
      <c r="D63" s="31">
        <f>IFERROR(INDEX('Exercise Library'!$B$6:$B$120,MATCH(C63,ExerciseNames,0)),"")</f>
        <v/>
      </c>
      <c r="E63" s="32">
        <f>IFERROR(INDEX('Exercise Library'!$E$6:$E$120,MATCH(C63,ExerciseNames,0)),"")</f>
        <v/>
      </c>
      <c r="F63" s="31">
        <f>IFERROR(INDEX('Exercise Library'!$F$6:$F$120,MATCH(C63,ExerciseNames,0)),"")</f>
        <v/>
      </c>
      <c r="G63" s="31" t="n"/>
      <c r="H63" s="32" t="n"/>
      <c r="I63" s="29">
        <f>IF($A63="","",IF($A63='Day View'!$B$4,COUNTIFS($A$5:$A63,'Day View'!$B$4),""))</f>
        <v/>
      </c>
    </row>
    <row r="64">
      <c r="A64" s="30" t="n"/>
      <c r="B64" s="31" t="n"/>
      <c r="C64" s="31" t="n"/>
      <c r="D64" s="31">
        <f>IFERROR(INDEX('Exercise Library'!$B$6:$B$120,MATCH(C64,ExerciseNames,0)),"")</f>
        <v/>
      </c>
      <c r="E64" s="32">
        <f>IFERROR(INDEX('Exercise Library'!$E$6:$E$120,MATCH(C64,ExerciseNames,0)),"")</f>
        <v/>
      </c>
      <c r="F64" s="31">
        <f>IFERROR(INDEX('Exercise Library'!$F$6:$F$120,MATCH(C64,ExerciseNames,0)),"")</f>
        <v/>
      </c>
      <c r="G64" s="31" t="n"/>
      <c r="H64" s="32" t="n"/>
      <c r="I64" s="29">
        <f>IF($A64="","",IF($A64='Day View'!$B$4,COUNTIFS($A$5:$A64,'Day View'!$B$4),""))</f>
        <v/>
      </c>
    </row>
    <row r="65">
      <c r="A65" s="30" t="n"/>
      <c r="B65" s="31" t="n"/>
      <c r="C65" s="31" t="n"/>
      <c r="D65" s="31">
        <f>IFERROR(INDEX('Exercise Library'!$B$6:$B$120,MATCH(C65,ExerciseNames,0)),"")</f>
        <v/>
      </c>
      <c r="E65" s="32">
        <f>IFERROR(INDEX('Exercise Library'!$E$6:$E$120,MATCH(C65,ExerciseNames,0)),"")</f>
        <v/>
      </c>
      <c r="F65" s="31">
        <f>IFERROR(INDEX('Exercise Library'!$F$6:$F$120,MATCH(C65,ExerciseNames,0)),"")</f>
        <v/>
      </c>
      <c r="G65" s="31" t="n"/>
      <c r="H65" s="32" t="n"/>
      <c r="I65" s="29">
        <f>IF($A65="","",IF($A65='Day View'!$B$4,COUNTIFS($A$5:$A65,'Day View'!$B$4),""))</f>
        <v/>
      </c>
    </row>
    <row r="66">
      <c r="A66" s="30" t="n"/>
      <c r="B66" s="31" t="n"/>
      <c r="C66" s="31" t="n"/>
      <c r="D66" s="31">
        <f>IFERROR(INDEX('Exercise Library'!$B$6:$B$120,MATCH(C66,ExerciseNames,0)),"")</f>
        <v/>
      </c>
      <c r="E66" s="32">
        <f>IFERROR(INDEX('Exercise Library'!$E$6:$E$120,MATCH(C66,ExerciseNames,0)),"")</f>
        <v/>
      </c>
      <c r="F66" s="31">
        <f>IFERROR(INDEX('Exercise Library'!$F$6:$F$120,MATCH(C66,ExerciseNames,0)),"")</f>
        <v/>
      </c>
      <c r="G66" s="31" t="n"/>
      <c r="H66" s="32" t="n"/>
      <c r="I66" s="29">
        <f>IF($A66="","",IF($A66='Day View'!$B$4,COUNTIFS($A$5:$A66,'Day View'!$B$4),""))</f>
        <v/>
      </c>
    </row>
    <row r="67">
      <c r="A67" s="30" t="n"/>
      <c r="B67" s="31" t="n"/>
      <c r="C67" s="31" t="n"/>
      <c r="D67" s="31">
        <f>IFERROR(INDEX('Exercise Library'!$B$6:$B$120,MATCH(C67,ExerciseNames,0)),"")</f>
        <v/>
      </c>
      <c r="E67" s="32">
        <f>IFERROR(INDEX('Exercise Library'!$E$6:$E$120,MATCH(C67,ExerciseNames,0)),"")</f>
        <v/>
      </c>
      <c r="F67" s="31">
        <f>IFERROR(INDEX('Exercise Library'!$F$6:$F$120,MATCH(C67,ExerciseNames,0)),"")</f>
        <v/>
      </c>
      <c r="G67" s="31" t="n"/>
      <c r="H67" s="32" t="n"/>
      <c r="I67" s="29">
        <f>IF($A67="","",IF($A67='Day View'!$B$4,COUNTIFS($A$5:$A67,'Day View'!$B$4),""))</f>
        <v/>
      </c>
    </row>
    <row r="68">
      <c r="A68" s="30" t="n"/>
      <c r="B68" s="31" t="n"/>
      <c r="C68" s="31" t="n"/>
      <c r="D68" s="31">
        <f>IFERROR(INDEX('Exercise Library'!$B$6:$B$120,MATCH(C68,ExerciseNames,0)),"")</f>
        <v/>
      </c>
      <c r="E68" s="32">
        <f>IFERROR(INDEX('Exercise Library'!$E$6:$E$120,MATCH(C68,ExerciseNames,0)),"")</f>
        <v/>
      </c>
      <c r="F68" s="31">
        <f>IFERROR(INDEX('Exercise Library'!$F$6:$F$120,MATCH(C68,ExerciseNames,0)),"")</f>
        <v/>
      </c>
      <c r="G68" s="31" t="n"/>
      <c r="H68" s="32" t="n"/>
      <c r="I68" s="29">
        <f>IF($A68="","",IF($A68='Day View'!$B$4,COUNTIFS($A$5:$A68,'Day View'!$B$4),""))</f>
        <v/>
      </c>
    </row>
    <row r="69">
      <c r="A69" s="30" t="n"/>
      <c r="B69" s="31" t="n"/>
      <c r="C69" s="31" t="n"/>
      <c r="D69" s="31">
        <f>IFERROR(INDEX('Exercise Library'!$B$6:$B$120,MATCH(C69,ExerciseNames,0)),"")</f>
        <v/>
      </c>
      <c r="E69" s="32">
        <f>IFERROR(INDEX('Exercise Library'!$E$6:$E$120,MATCH(C69,ExerciseNames,0)),"")</f>
        <v/>
      </c>
      <c r="F69" s="31">
        <f>IFERROR(INDEX('Exercise Library'!$F$6:$F$120,MATCH(C69,ExerciseNames,0)),"")</f>
        <v/>
      </c>
      <c r="G69" s="31" t="n"/>
      <c r="H69" s="32" t="n"/>
      <c r="I69" s="29">
        <f>IF($A69="","",IF($A69='Day View'!$B$4,COUNTIFS($A$5:$A69,'Day View'!$B$4),""))</f>
        <v/>
      </c>
    </row>
    <row r="70">
      <c r="A70" s="30" t="n"/>
      <c r="B70" s="31" t="n"/>
      <c r="C70" s="31" t="n"/>
      <c r="D70" s="31">
        <f>IFERROR(INDEX('Exercise Library'!$B$6:$B$120,MATCH(C70,ExerciseNames,0)),"")</f>
        <v/>
      </c>
      <c r="E70" s="32">
        <f>IFERROR(INDEX('Exercise Library'!$E$6:$E$120,MATCH(C70,ExerciseNames,0)),"")</f>
        <v/>
      </c>
      <c r="F70" s="31">
        <f>IFERROR(INDEX('Exercise Library'!$F$6:$F$120,MATCH(C70,ExerciseNames,0)),"")</f>
        <v/>
      </c>
      <c r="G70" s="31" t="n"/>
      <c r="H70" s="32" t="n"/>
      <c r="I70" s="29">
        <f>IF($A70="","",IF($A70='Day View'!$B$4,COUNTIFS($A$5:$A70,'Day View'!$B$4),""))</f>
        <v/>
      </c>
    </row>
    <row r="71">
      <c r="A71" s="30" t="n"/>
      <c r="B71" s="31" t="n"/>
      <c r="C71" s="31" t="n"/>
      <c r="D71" s="31">
        <f>IFERROR(INDEX('Exercise Library'!$B$6:$B$120,MATCH(C71,ExerciseNames,0)),"")</f>
        <v/>
      </c>
      <c r="E71" s="32">
        <f>IFERROR(INDEX('Exercise Library'!$E$6:$E$120,MATCH(C71,ExerciseNames,0)),"")</f>
        <v/>
      </c>
      <c r="F71" s="31">
        <f>IFERROR(INDEX('Exercise Library'!$F$6:$F$120,MATCH(C71,ExerciseNames,0)),"")</f>
        <v/>
      </c>
      <c r="G71" s="31" t="n"/>
      <c r="H71" s="32" t="n"/>
      <c r="I71" s="29">
        <f>IF($A71="","",IF($A71='Day View'!$B$4,COUNTIFS($A$5:$A71,'Day View'!$B$4),""))</f>
        <v/>
      </c>
    </row>
    <row r="72">
      <c r="A72" s="30" t="n"/>
      <c r="B72" s="31" t="n"/>
      <c r="C72" s="31" t="n"/>
      <c r="D72" s="31">
        <f>IFERROR(INDEX('Exercise Library'!$B$6:$B$120,MATCH(C72,ExerciseNames,0)),"")</f>
        <v/>
      </c>
      <c r="E72" s="32">
        <f>IFERROR(INDEX('Exercise Library'!$E$6:$E$120,MATCH(C72,ExerciseNames,0)),"")</f>
        <v/>
      </c>
      <c r="F72" s="31">
        <f>IFERROR(INDEX('Exercise Library'!$F$6:$F$120,MATCH(C72,ExerciseNames,0)),"")</f>
        <v/>
      </c>
      <c r="G72" s="31" t="n"/>
      <c r="H72" s="32" t="n"/>
      <c r="I72" s="29">
        <f>IF($A72="","",IF($A72='Day View'!$B$4,COUNTIFS($A$5:$A72,'Day View'!$B$4),""))</f>
        <v/>
      </c>
    </row>
    <row r="73">
      <c r="A73" s="30" t="n"/>
      <c r="B73" s="31" t="n"/>
      <c r="C73" s="31" t="n"/>
      <c r="D73" s="31">
        <f>IFERROR(INDEX('Exercise Library'!$B$6:$B$120,MATCH(C73,ExerciseNames,0)),"")</f>
        <v/>
      </c>
      <c r="E73" s="32">
        <f>IFERROR(INDEX('Exercise Library'!$E$6:$E$120,MATCH(C73,ExerciseNames,0)),"")</f>
        <v/>
      </c>
      <c r="F73" s="31">
        <f>IFERROR(INDEX('Exercise Library'!$F$6:$F$120,MATCH(C73,ExerciseNames,0)),"")</f>
        <v/>
      </c>
      <c r="G73" s="31" t="n"/>
      <c r="H73" s="32" t="n"/>
      <c r="I73" s="29">
        <f>IF($A73="","",IF($A73='Day View'!$B$4,COUNTIFS($A$5:$A73,'Day View'!$B$4),""))</f>
        <v/>
      </c>
    </row>
    <row r="74">
      <c r="A74" s="30" t="n"/>
      <c r="B74" s="31" t="n"/>
      <c r="C74" s="31" t="n"/>
      <c r="D74" s="31">
        <f>IFERROR(INDEX('Exercise Library'!$B$6:$B$120,MATCH(C74,ExerciseNames,0)),"")</f>
        <v/>
      </c>
      <c r="E74" s="32">
        <f>IFERROR(INDEX('Exercise Library'!$E$6:$E$120,MATCH(C74,ExerciseNames,0)),"")</f>
        <v/>
      </c>
      <c r="F74" s="31">
        <f>IFERROR(INDEX('Exercise Library'!$F$6:$F$120,MATCH(C74,ExerciseNames,0)),"")</f>
        <v/>
      </c>
      <c r="G74" s="31" t="n"/>
      <c r="H74" s="32" t="n"/>
      <c r="I74" s="29">
        <f>IF($A74="","",IF($A74='Day View'!$B$4,COUNTIFS($A$5:$A74,'Day View'!$B$4),""))</f>
        <v/>
      </c>
    </row>
    <row r="75">
      <c r="A75" s="30" t="n"/>
      <c r="B75" s="31" t="n"/>
      <c r="C75" s="31" t="n"/>
      <c r="D75" s="31">
        <f>IFERROR(INDEX('Exercise Library'!$B$6:$B$120,MATCH(C75,ExerciseNames,0)),"")</f>
        <v/>
      </c>
      <c r="E75" s="32">
        <f>IFERROR(INDEX('Exercise Library'!$E$6:$E$120,MATCH(C75,ExerciseNames,0)),"")</f>
        <v/>
      </c>
      <c r="F75" s="31">
        <f>IFERROR(INDEX('Exercise Library'!$F$6:$F$120,MATCH(C75,ExerciseNames,0)),"")</f>
        <v/>
      </c>
      <c r="G75" s="31" t="n"/>
      <c r="H75" s="32" t="n"/>
      <c r="I75" s="29">
        <f>IF($A75="","",IF($A75='Day View'!$B$4,COUNTIFS($A$5:$A75,'Day View'!$B$4),""))</f>
        <v/>
      </c>
    </row>
    <row r="76">
      <c r="A76" s="30" t="n"/>
      <c r="B76" s="31" t="n"/>
      <c r="C76" s="31" t="n"/>
      <c r="D76" s="31">
        <f>IFERROR(INDEX('Exercise Library'!$B$6:$B$120,MATCH(C76,ExerciseNames,0)),"")</f>
        <v/>
      </c>
      <c r="E76" s="32">
        <f>IFERROR(INDEX('Exercise Library'!$E$6:$E$120,MATCH(C76,ExerciseNames,0)),"")</f>
        <v/>
      </c>
      <c r="F76" s="31">
        <f>IFERROR(INDEX('Exercise Library'!$F$6:$F$120,MATCH(C76,ExerciseNames,0)),"")</f>
        <v/>
      </c>
      <c r="G76" s="31" t="n"/>
      <c r="H76" s="32" t="n"/>
      <c r="I76" s="29">
        <f>IF($A76="","",IF($A76='Day View'!$B$4,COUNTIFS($A$5:$A76,'Day View'!$B$4),""))</f>
        <v/>
      </c>
    </row>
    <row r="77">
      <c r="A77" s="30" t="n"/>
      <c r="B77" s="31" t="n"/>
      <c r="C77" s="31" t="n"/>
      <c r="D77" s="31">
        <f>IFERROR(INDEX('Exercise Library'!$B$6:$B$120,MATCH(C77,ExerciseNames,0)),"")</f>
        <v/>
      </c>
      <c r="E77" s="32">
        <f>IFERROR(INDEX('Exercise Library'!$E$6:$E$120,MATCH(C77,ExerciseNames,0)),"")</f>
        <v/>
      </c>
      <c r="F77" s="31">
        <f>IFERROR(INDEX('Exercise Library'!$F$6:$F$120,MATCH(C77,ExerciseNames,0)),"")</f>
        <v/>
      </c>
      <c r="G77" s="31" t="n"/>
      <c r="H77" s="32" t="n"/>
      <c r="I77" s="29">
        <f>IF($A77="","",IF($A77='Day View'!$B$4,COUNTIFS($A$5:$A77,'Day View'!$B$4),""))</f>
        <v/>
      </c>
    </row>
    <row r="78">
      <c r="A78" s="30" t="n"/>
      <c r="B78" s="31" t="n"/>
      <c r="C78" s="31" t="n"/>
      <c r="D78" s="31">
        <f>IFERROR(INDEX('Exercise Library'!$B$6:$B$120,MATCH(C78,ExerciseNames,0)),"")</f>
        <v/>
      </c>
      <c r="E78" s="32">
        <f>IFERROR(INDEX('Exercise Library'!$E$6:$E$120,MATCH(C78,ExerciseNames,0)),"")</f>
        <v/>
      </c>
      <c r="F78" s="31">
        <f>IFERROR(INDEX('Exercise Library'!$F$6:$F$120,MATCH(C78,ExerciseNames,0)),"")</f>
        <v/>
      </c>
      <c r="G78" s="31" t="n"/>
      <c r="H78" s="32" t="n"/>
      <c r="I78" s="29">
        <f>IF($A78="","",IF($A78='Day View'!$B$4,COUNTIFS($A$5:$A78,'Day View'!$B$4),""))</f>
        <v/>
      </c>
    </row>
    <row r="79">
      <c r="A79" s="30" t="n"/>
      <c r="B79" s="31" t="n"/>
      <c r="C79" s="31" t="n"/>
      <c r="D79" s="31">
        <f>IFERROR(INDEX('Exercise Library'!$B$6:$B$120,MATCH(C79,ExerciseNames,0)),"")</f>
        <v/>
      </c>
      <c r="E79" s="32">
        <f>IFERROR(INDEX('Exercise Library'!$E$6:$E$120,MATCH(C79,ExerciseNames,0)),"")</f>
        <v/>
      </c>
      <c r="F79" s="31">
        <f>IFERROR(INDEX('Exercise Library'!$F$6:$F$120,MATCH(C79,ExerciseNames,0)),"")</f>
        <v/>
      </c>
      <c r="G79" s="31" t="n"/>
      <c r="H79" s="32" t="n"/>
      <c r="I79" s="29">
        <f>IF($A79="","",IF($A79='Day View'!$B$4,COUNTIFS($A$5:$A79,'Day View'!$B$4),""))</f>
        <v/>
      </c>
    </row>
    <row r="80">
      <c r="A80" s="30" t="n"/>
      <c r="B80" s="31" t="n"/>
      <c r="C80" s="31" t="n"/>
      <c r="D80" s="31">
        <f>IFERROR(INDEX('Exercise Library'!$B$6:$B$120,MATCH(C80,ExerciseNames,0)),"")</f>
        <v/>
      </c>
      <c r="E80" s="32">
        <f>IFERROR(INDEX('Exercise Library'!$E$6:$E$120,MATCH(C80,ExerciseNames,0)),"")</f>
        <v/>
      </c>
      <c r="F80" s="31">
        <f>IFERROR(INDEX('Exercise Library'!$F$6:$F$120,MATCH(C80,ExerciseNames,0)),"")</f>
        <v/>
      </c>
      <c r="G80" s="31" t="n"/>
      <c r="H80" s="32" t="n"/>
      <c r="I80" s="29">
        <f>IF($A80="","",IF($A80='Day View'!$B$4,COUNTIFS($A$5:$A80,'Day View'!$B$4),""))</f>
        <v/>
      </c>
    </row>
    <row r="81">
      <c r="A81" s="30" t="n"/>
      <c r="B81" s="31" t="n"/>
      <c r="C81" s="31" t="n"/>
      <c r="D81" s="31">
        <f>IFERROR(INDEX('Exercise Library'!$B$6:$B$120,MATCH(C81,ExerciseNames,0)),"")</f>
        <v/>
      </c>
      <c r="E81" s="32">
        <f>IFERROR(INDEX('Exercise Library'!$E$6:$E$120,MATCH(C81,ExerciseNames,0)),"")</f>
        <v/>
      </c>
      <c r="F81" s="31">
        <f>IFERROR(INDEX('Exercise Library'!$F$6:$F$120,MATCH(C81,ExerciseNames,0)),"")</f>
        <v/>
      </c>
      <c r="G81" s="31" t="n"/>
      <c r="H81" s="32" t="n"/>
      <c r="I81" s="29">
        <f>IF($A81="","",IF($A81='Day View'!$B$4,COUNTIFS($A$5:$A81,'Day View'!$B$4),""))</f>
        <v/>
      </c>
    </row>
    <row r="82">
      <c r="A82" s="30" t="n"/>
      <c r="B82" s="31" t="n"/>
      <c r="C82" s="31" t="n"/>
      <c r="D82" s="31">
        <f>IFERROR(INDEX('Exercise Library'!$B$6:$B$120,MATCH(C82,ExerciseNames,0)),"")</f>
        <v/>
      </c>
      <c r="E82" s="32">
        <f>IFERROR(INDEX('Exercise Library'!$E$6:$E$120,MATCH(C82,ExerciseNames,0)),"")</f>
        <v/>
      </c>
      <c r="F82" s="31">
        <f>IFERROR(INDEX('Exercise Library'!$F$6:$F$120,MATCH(C82,ExerciseNames,0)),"")</f>
        <v/>
      </c>
      <c r="G82" s="31" t="n"/>
      <c r="H82" s="32" t="n"/>
      <c r="I82" s="29">
        <f>IF($A82="","",IF($A82='Day View'!$B$4,COUNTIFS($A$5:$A82,'Day View'!$B$4),""))</f>
        <v/>
      </c>
    </row>
    <row r="83">
      <c r="A83" s="30" t="n"/>
      <c r="B83" s="31" t="n"/>
      <c r="C83" s="31" t="n"/>
      <c r="D83" s="31">
        <f>IFERROR(INDEX('Exercise Library'!$B$6:$B$120,MATCH(C83,ExerciseNames,0)),"")</f>
        <v/>
      </c>
      <c r="E83" s="32">
        <f>IFERROR(INDEX('Exercise Library'!$E$6:$E$120,MATCH(C83,ExerciseNames,0)),"")</f>
        <v/>
      </c>
      <c r="F83" s="31">
        <f>IFERROR(INDEX('Exercise Library'!$F$6:$F$120,MATCH(C83,ExerciseNames,0)),"")</f>
        <v/>
      </c>
      <c r="G83" s="31" t="n"/>
      <c r="H83" s="32" t="n"/>
      <c r="I83" s="29">
        <f>IF($A83="","",IF($A83='Day View'!$B$4,COUNTIFS($A$5:$A83,'Day View'!$B$4),""))</f>
        <v/>
      </c>
    </row>
    <row r="84">
      <c r="A84" s="30" t="n"/>
      <c r="B84" s="31" t="n"/>
      <c r="C84" s="31" t="n"/>
      <c r="D84" s="31">
        <f>IFERROR(INDEX('Exercise Library'!$B$6:$B$120,MATCH(C84,ExerciseNames,0)),"")</f>
        <v/>
      </c>
      <c r="E84" s="32">
        <f>IFERROR(INDEX('Exercise Library'!$E$6:$E$120,MATCH(C84,ExerciseNames,0)),"")</f>
        <v/>
      </c>
      <c r="F84" s="31">
        <f>IFERROR(INDEX('Exercise Library'!$F$6:$F$120,MATCH(C84,ExerciseNames,0)),"")</f>
        <v/>
      </c>
      <c r="G84" s="31" t="n"/>
      <c r="H84" s="32" t="n"/>
      <c r="I84" s="29">
        <f>IF($A84="","",IF($A84='Day View'!$B$4,COUNTIFS($A$5:$A84,'Day View'!$B$4),""))</f>
        <v/>
      </c>
    </row>
    <row r="85">
      <c r="A85" s="30" t="n"/>
      <c r="B85" s="31" t="n"/>
      <c r="C85" s="31" t="n"/>
      <c r="D85" s="31">
        <f>IFERROR(INDEX('Exercise Library'!$B$6:$B$120,MATCH(C85,ExerciseNames,0)),"")</f>
        <v/>
      </c>
      <c r="E85" s="32">
        <f>IFERROR(INDEX('Exercise Library'!$E$6:$E$120,MATCH(C85,ExerciseNames,0)),"")</f>
        <v/>
      </c>
      <c r="F85" s="31">
        <f>IFERROR(INDEX('Exercise Library'!$F$6:$F$120,MATCH(C85,ExerciseNames,0)),"")</f>
        <v/>
      </c>
      <c r="G85" s="31" t="n"/>
      <c r="H85" s="32" t="n"/>
      <c r="I85" s="29">
        <f>IF($A85="","",IF($A85='Day View'!$B$4,COUNTIFS($A$5:$A85,'Day View'!$B$4),""))</f>
        <v/>
      </c>
    </row>
    <row r="86">
      <c r="A86" s="30" t="n"/>
      <c r="B86" s="31" t="n"/>
      <c r="C86" s="31" t="n"/>
      <c r="D86" s="31">
        <f>IFERROR(INDEX('Exercise Library'!$B$6:$B$120,MATCH(C86,ExerciseNames,0)),"")</f>
        <v/>
      </c>
      <c r="E86" s="32">
        <f>IFERROR(INDEX('Exercise Library'!$E$6:$E$120,MATCH(C86,ExerciseNames,0)),"")</f>
        <v/>
      </c>
      <c r="F86" s="31">
        <f>IFERROR(INDEX('Exercise Library'!$F$6:$F$120,MATCH(C86,ExerciseNames,0)),"")</f>
        <v/>
      </c>
      <c r="G86" s="31" t="n"/>
      <c r="H86" s="32" t="n"/>
      <c r="I86" s="29">
        <f>IF($A86="","",IF($A86='Day View'!$B$4,COUNTIFS($A$5:$A86,'Day View'!$B$4),""))</f>
        <v/>
      </c>
    </row>
    <row r="87">
      <c r="A87" s="30" t="n"/>
      <c r="B87" s="31" t="n"/>
      <c r="C87" s="31" t="n"/>
      <c r="D87" s="31">
        <f>IFERROR(INDEX('Exercise Library'!$B$6:$B$120,MATCH(C87,ExerciseNames,0)),"")</f>
        <v/>
      </c>
      <c r="E87" s="32">
        <f>IFERROR(INDEX('Exercise Library'!$E$6:$E$120,MATCH(C87,ExerciseNames,0)),"")</f>
        <v/>
      </c>
      <c r="F87" s="31">
        <f>IFERROR(INDEX('Exercise Library'!$F$6:$F$120,MATCH(C87,ExerciseNames,0)),"")</f>
        <v/>
      </c>
      <c r="G87" s="31" t="n"/>
      <c r="H87" s="32" t="n"/>
      <c r="I87" s="29">
        <f>IF($A87="","",IF($A87='Day View'!$B$4,COUNTIFS($A$5:$A87,'Day View'!$B$4),""))</f>
        <v/>
      </c>
    </row>
    <row r="88">
      <c r="A88" s="30" t="n"/>
      <c r="B88" s="31" t="n"/>
      <c r="C88" s="31" t="n"/>
      <c r="D88" s="31">
        <f>IFERROR(INDEX('Exercise Library'!$B$6:$B$120,MATCH(C88,ExerciseNames,0)),"")</f>
        <v/>
      </c>
      <c r="E88" s="32">
        <f>IFERROR(INDEX('Exercise Library'!$E$6:$E$120,MATCH(C88,ExerciseNames,0)),"")</f>
        <v/>
      </c>
      <c r="F88" s="31">
        <f>IFERROR(INDEX('Exercise Library'!$F$6:$F$120,MATCH(C88,ExerciseNames,0)),"")</f>
        <v/>
      </c>
      <c r="G88" s="31" t="n"/>
      <c r="H88" s="32" t="n"/>
      <c r="I88" s="29">
        <f>IF($A88="","",IF($A88='Day View'!$B$4,COUNTIFS($A$5:$A88,'Day View'!$B$4),""))</f>
        <v/>
      </c>
    </row>
    <row r="89">
      <c r="A89" s="30" t="n"/>
      <c r="B89" s="31" t="n"/>
      <c r="C89" s="31" t="n"/>
      <c r="D89" s="31">
        <f>IFERROR(INDEX('Exercise Library'!$B$6:$B$120,MATCH(C89,ExerciseNames,0)),"")</f>
        <v/>
      </c>
      <c r="E89" s="32">
        <f>IFERROR(INDEX('Exercise Library'!$E$6:$E$120,MATCH(C89,ExerciseNames,0)),"")</f>
        <v/>
      </c>
      <c r="F89" s="31">
        <f>IFERROR(INDEX('Exercise Library'!$F$6:$F$120,MATCH(C89,ExerciseNames,0)),"")</f>
        <v/>
      </c>
      <c r="G89" s="31" t="n"/>
      <c r="H89" s="32" t="n"/>
      <c r="I89" s="29">
        <f>IF($A89="","",IF($A89='Day View'!$B$4,COUNTIFS($A$5:$A89,'Day View'!$B$4),""))</f>
        <v/>
      </c>
    </row>
    <row r="90">
      <c r="A90" s="30" t="n"/>
      <c r="B90" s="31" t="n"/>
      <c r="C90" s="31" t="n"/>
      <c r="D90" s="31">
        <f>IFERROR(INDEX('Exercise Library'!$B$6:$B$120,MATCH(C90,ExerciseNames,0)),"")</f>
        <v/>
      </c>
      <c r="E90" s="32">
        <f>IFERROR(INDEX('Exercise Library'!$E$6:$E$120,MATCH(C90,ExerciseNames,0)),"")</f>
        <v/>
      </c>
      <c r="F90" s="31">
        <f>IFERROR(INDEX('Exercise Library'!$F$6:$F$120,MATCH(C90,ExerciseNames,0)),"")</f>
        <v/>
      </c>
      <c r="G90" s="31" t="n"/>
      <c r="H90" s="32" t="n"/>
      <c r="I90" s="29">
        <f>IF($A90="","",IF($A90='Day View'!$B$4,COUNTIFS($A$5:$A90,'Day View'!$B$4),""))</f>
        <v/>
      </c>
    </row>
    <row r="91">
      <c r="A91" s="30" t="n"/>
      <c r="B91" s="31" t="n"/>
      <c r="C91" s="31" t="n"/>
      <c r="D91" s="31">
        <f>IFERROR(INDEX('Exercise Library'!$B$6:$B$120,MATCH(C91,ExerciseNames,0)),"")</f>
        <v/>
      </c>
      <c r="E91" s="32">
        <f>IFERROR(INDEX('Exercise Library'!$E$6:$E$120,MATCH(C91,ExerciseNames,0)),"")</f>
        <v/>
      </c>
      <c r="F91" s="31">
        <f>IFERROR(INDEX('Exercise Library'!$F$6:$F$120,MATCH(C91,ExerciseNames,0)),"")</f>
        <v/>
      </c>
      <c r="G91" s="31" t="n"/>
      <c r="H91" s="32" t="n"/>
      <c r="I91" s="29">
        <f>IF($A91="","",IF($A91='Day View'!$B$4,COUNTIFS($A$5:$A91,'Day View'!$B$4),""))</f>
        <v/>
      </c>
    </row>
    <row r="92">
      <c r="A92" s="30" t="n"/>
      <c r="B92" s="31" t="n"/>
      <c r="C92" s="31" t="n"/>
      <c r="D92" s="31">
        <f>IFERROR(INDEX('Exercise Library'!$B$6:$B$120,MATCH(C92,ExerciseNames,0)),"")</f>
        <v/>
      </c>
      <c r="E92" s="32">
        <f>IFERROR(INDEX('Exercise Library'!$E$6:$E$120,MATCH(C92,ExerciseNames,0)),"")</f>
        <v/>
      </c>
      <c r="F92" s="31">
        <f>IFERROR(INDEX('Exercise Library'!$F$6:$F$120,MATCH(C92,ExerciseNames,0)),"")</f>
        <v/>
      </c>
      <c r="G92" s="31" t="n"/>
      <c r="H92" s="32" t="n"/>
      <c r="I92" s="29">
        <f>IF($A92="","",IF($A92='Day View'!$B$4,COUNTIFS($A$5:$A92,'Day View'!$B$4),""))</f>
        <v/>
      </c>
    </row>
    <row r="93">
      <c r="A93" s="30" t="n"/>
      <c r="B93" s="31" t="n"/>
      <c r="C93" s="31" t="n"/>
      <c r="D93" s="31">
        <f>IFERROR(INDEX('Exercise Library'!$B$6:$B$120,MATCH(C93,ExerciseNames,0)),"")</f>
        <v/>
      </c>
      <c r="E93" s="32">
        <f>IFERROR(INDEX('Exercise Library'!$E$6:$E$120,MATCH(C93,ExerciseNames,0)),"")</f>
        <v/>
      </c>
      <c r="F93" s="31">
        <f>IFERROR(INDEX('Exercise Library'!$F$6:$F$120,MATCH(C93,ExerciseNames,0)),"")</f>
        <v/>
      </c>
      <c r="G93" s="31" t="n"/>
      <c r="H93" s="32" t="n"/>
      <c r="I93" s="29">
        <f>IF($A93="","",IF($A93='Day View'!$B$4,COUNTIFS($A$5:$A93,'Day View'!$B$4),""))</f>
        <v/>
      </c>
    </row>
    <row r="94">
      <c r="A94" s="30" t="n"/>
      <c r="B94" s="31" t="n"/>
      <c r="C94" s="31" t="n"/>
      <c r="D94" s="31">
        <f>IFERROR(INDEX('Exercise Library'!$B$6:$B$120,MATCH(C94,ExerciseNames,0)),"")</f>
        <v/>
      </c>
      <c r="E94" s="32">
        <f>IFERROR(INDEX('Exercise Library'!$E$6:$E$120,MATCH(C94,ExerciseNames,0)),"")</f>
        <v/>
      </c>
      <c r="F94" s="31">
        <f>IFERROR(INDEX('Exercise Library'!$F$6:$F$120,MATCH(C94,ExerciseNames,0)),"")</f>
        <v/>
      </c>
      <c r="G94" s="31" t="n"/>
      <c r="H94" s="32" t="n"/>
      <c r="I94" s="29">
        <f>IF($A94="","",IF($A94='Day View'!$B$4,COUNTIFS($A$5:$A94,'Day View'!$B$4),""))</f>
        <v/>
      </c>
    </row>
    <row r="95">
      <c r="A95" s="30" t="n"/>
      <c r="B95" s="31" t="n"/>
      <c r="C95" s="31" t="n"/>
      <c r="D95" s="31">
        <f>IFERROR(INDEX('Exercise Library'!$B$6:$B$120,MATCH(C95,ExerciseNames,0)),"")</f>
        <v/>
      </c>
      <c r="E95" s="32">
        <f>IFERROR(INDEX('Exercise Library'!$E$6:$E$120,MATCH(C95,ExerciseNames,0)),"")</f>
        <v/>
      </c>
      <c r="F95" s="31">
        <f>IFERROR(INDEX('Exercise Library'!$F$6:$F$120,MATCH(C95,ExerciseNames,0)),"")</f>
        <v/>
      </c>
      <c r="G95" s="31" t="n"/>
      <c r="H95" s="32" t="n"/>
      <c r="I95" s="29">
        <f>IF($A95="","",IF($A95='Day View'!$B$4,COUNTIFS($A$5:$A95,'Day View'!$B$4),""))</f>
        <v/>
      </c>
    </row>
    <row r="96">
      <c r="A96" s="30" t="n"/>
      <c r="B96" s="31" t="n"/>
      <c r="C96" s="31" t="n"/>
      <c r="D96" s="31">
        <f>IFERROR(INDEX('Exercise Library'!$B$6:$B$120,MATCH(C96,ExerciseNames,0)),"")</f>
        <v/>
      </c>
      <c r="E96" s="32">
        <f>IFERROR(INDEX('Exercise Library'!$E$6:$E$120,MATCH(C96,ExerciseNames,0)),"")</f>
        <v/>
      </c>
      <c r="F96" s="31">
        <f>IFERROR(INDEX('Exercise Library'!$F$6:$F$120,MATCH(C96,ExerciseNames,0)),"")</f>
        <v/>
      </c>
      <c r="G96" s="31" t="n"/>
      <c r="H96" s="32" t="n"/>
      <c r="I96" s="29">
        <f>IF($A96="","",IF($A96='Day View'!$B$4,COUNTIFS($A$5:$A96,'Day View'!$B$4),""))</f>
        <v/>
      </c>
    </row>
    <row r="97">
      <c r="A97" s="30" t="n"/>
      <c r="B97" s="31" t="n"/>
      <c r="C97" s="31" t="n"/>
      <c r="D97" s="31">
        <f>IFERROR(INDEX('Exercise Library'!$B$6:$B$120,MATCH(C97,ExerciseNames,0)),"")</f>
        <v/>
      </c>
      <c r="E97" s="32">
        <f>IFERROR(INDEX('Exercise Library'!$E$6:$E$120,MATCH(C97,ExerciseNames,0)),"")</f>
        <v/>
      </c>
      <c r="F97" s="31">
        <f>IFERROR(INDEX('Exercise Library'!$F$6:$F$120,MATCH(C97,ExerciseNames,0)),"")</f>
        <v/>
      </c>
      <c r="G97" s="31" t="n"/>
      <c r="H97" s="32" t="n"/>
      <c r="I97" s="29">
        <f>IF($A97="","",IF($A97='Day View'!$B$4,COUNTIFS($A$5:$A97,'Day View'!$B$4),""))</f>
        <v/>
      </c>
    </row>
    <row r="98">
      <c r="A98" s="30" t="n"/>
      <c r="B98" s="31" t="n"/>
      <c r="C98" s="31" t="n"/>
      <c r="D98" s="31">
        <f>IFERROR(INDEX('Exercise Library'!$B$6:$B$120,MATCH(C98,ExerciseNames,0)),"")</f>
        <v/>
      </c>
      <c r="E98" s="32">
        <f>IFERROR(INDEX('Exercise Library'!$E$6:$E$120,MATCH(C98,ExerciseNames,0)),"")</f>
        <v/>
      </c>
      <c r="F98" s="31">
        <f>IFERROR(INDEX('Exercise Library'!$F$6:$F$120,MATCH(C98,ExerciseNames,0)),"")</f>
        <v/>
      </c>
      <c r="G98" s="31" t="n"/>
      <c r="H98" s="32" t="n"/>
      <c r="I98" s="29">
        <f>IF($A98="","",IF($A98='Day View'!$B$4,COUNTIFS($A$5:$A98,'Day View'!$B$4),""))</f>
        <v/>
      </c>
    </row>
    <row r="99">
      <c r="A99" s="30" t="n"/>
      <c r="B99" s="31" t="n"/>
      <c r="C99" s="31" t="n"/>
      <c r="D99" s="31">
        <f>IFERROR(INDEX('Exercise Library'!$B$6:$B$120,MATCH(C99,ExerciseNames,0)),"")</f>
        <v/>
      </c>
      <c r="E99" s="32">
        <f>IFERROR(INDEX('Exercise Library'!$E$6:$E$120,MATCH(C99,ExerciseNames,0)),"")</f>
        <v/>
      </c>
      <c r="F99" s="31">
        <f>IFERROR(INDEX('Exercise Library'!$F$6:$F$120,MATCH(C99,ExerciseNames,0)),"")</f>
        <v/>
      </c>
      <c r="G99" s="31" t="n"/>
      <c r="H99" s="32" t="n"/>
      <c r="I99" s="29">
        <f>IF($A99="","",IF($A99='Day View'!$B$4,COUNTIFS($A$5:$A99,'Day View'!$B$4),""))</f>
        <v/>
      </c>
    </row>
    <row r="100">
      <c r="A100" s="30" t="n"/>
      <c r="B100" s="31" t="n"/>
      <c r="C100" s="31" t="n"/>
      <c r="D100" s="31">
        <f>IFERROR(INDEX('Exercise Library'!$B$6:$B$120,MATCH(C100,ExerciseNames,0)),"")</f>
        <v/>
      </c>
      <c r="E100" s="32">
        <f>IFERROR(INDEX('Exercise Library'!$E$6:$E$120,MATCH(C100,ExerciseNames,0)),"")</f>
        <v/>
      </c>
      <c r="F100" s="31">
        <f>IFERROR(INDEX('Exercise Library'!$F$6:$F$120,MATCH(C100,ExerciseNames,0)),"")</f>
        <v/>
      </c>
      <c r="G100" s="31" t="n"/>
      <c r="H100" s="32" t="n"/>
      <c r="I100" s="29">
        <f>IF($A100="","",IF($A100='Day View'!$B$4,COUNTIFS($A$5:$A100,'Day View'!$B$4),""))</f>
        <v/>
      </c>
    </row>
    <row r="101">
      <c r="A101" s="30" t="n"/>
      <c r="B101" s="31" t="n"/>
      <c r="C101" s="31" t="n"/>
      <c r="D101" s="31">
        <f>IFERROR(INDEX('Exercise Library'!$B$6:$B$120,MATCH(C101,ExerciseNames,0)),"")</f>
        <v/>
      </c>
      <c r="E101" s="32">
        <f>IFERROR(INDEX('Exercise Library'!$E$6:$E$120,MATCH(C101,ExerciseNames,0)),"")</f>
        <v/>
      </c>
      <c r="F101" s="31">
        <f>IFERROR(INDEX('Exercise Library'!$F$6:$F$120,MATCH(C101,ExerciseNames,0)),"")</f>
        <v/>
      </c>
      <c r="G101" s="31" t="n"/>
      <c r="H101" s="32" t="n"/>
      <c r="I101" s="29">
        <f>IF($A101="","",IF($A101='Day View'!$B$4,COUNTIFS($A$5:$A101,'Day View'!$B$4),""))</f>
        <v/>
      </c>
    </row>
    <row r="102">
      <c r="A102" s="30" t="n"/>
      <c r="B102" s="31" t="n"/>
      <c r="C102" s="31" t="n"/>
      <c r="D102" s="31">
        <f>IFERROR(INDEX('Exercise Library'!$B$6:$B$120,MATCH(C102,ExerciseNames,0)),"")</f>
        <v/>
      </c>
      <c r="E102" s="32">
        <f>IFERROR(INDEX('Exercise Library'!$E$6:$E$120,MATCH(C102,ExerciseNames,0)),"")</f>
        <v/>
      </c>
      <c r="F102" s="31">
        <f>IFERROR(INDEX('Exercise Library'!$F$6:$F$120,MATCH(C102,ExerciseNames,0)),"")</f>
        <v/>
      </c>
      <c r="G102" s="31" t="n"/>
      <c r="H102" s="32" t="n"/>
      <c r="I102" s="29">
        <f>IF($A102="","",IF($A102='Day View'!$B$4,COUNTIFS($A$5:$A102,'Day View'!$B$4),""))</f>
        <v/>
      </c>
    </row>
    <row r="103">
      <c r="A103" s="30" t="n"/>
      <c r="B103" s="31" t="n"/>
      <c r="C103" s="31" t="n"/>
      <c r="D103" s="31">
        <f>IFERROR(INDEX('Exercise Library'!$B$6:$B$120,MATCH(C103,ExerciseNames,0)),"")</f>
        <v/>
      </c>
      <c r="E103" s="32">
        <f>IFERROR(INDEX('Exercise Library'!$E$6:$E$120,MATCH(C103,ExerciseNames,0)),"")</f>
        <v/>
      </c>
      <c r="F103" s="31">
        <f>IFERROR(INDEX('Exercise Library'!$F$6:$F$120,MATCH(C103,ExerciseNames,0)),"")</f>
        <v/>
      </c>
      <c r="G103" s="31" t="n"/>
      <c r="H103" s="32" t="n"/>
      <c r="I103" s="29">
        <f>IF($A103="","",IF($A103='Day View'!$B$4,COUNTIFS($A$5:$A103,'Day View'!$B$4),""))</f>
        <v/>
      </c>
    </row>
    <row r="104">
      <c r="A104" s="30" t="n"/>
      <c r="B104" s="31" t="n"/>
      <c r="C104" s="31" t="n"/>
      <c r="D104" s="31">
        <f>IFERROR(INDEX('Exercise Library'!$B$6:$B$120,MATCH(C104,ExerciseNames,0)),"")</f>
        <v/>
      </c>
      <c r="E104" s="32">
        <f>IFERROR(INDEX('Exercise Library'!$E$6:$E$120,MATCH(C104,ExerciseNames,0)),"")</f>
        <v/>
      </c>
      <c r="F104" s="31">
        <f>IFERROR(INDEX('Exercise Library'!$F$6:$F$120,MATCH(C104,ExerciseNames,0)),"")</f>
        <v/>
      </c>
      <c r="G104" s="31" t="n"/>
      <c r="H104" s="32" t="n"/>
      <c r="I104" s="29">
        <f>IF($A104="","",IF($A104='Day View'!$B$4,COUNTIFS($A$5:$A104,'Day View'!$B$4),""))</f>
        <v/>
      </c>
    </row>
    <row r="105">
      <c r="A105" s="30" t="n"/>
      <c r="B105" s="31" t="n"/>
      <c r="C105" s="31" t="n"/>
      <c r="D105" s="31">
        <f>IFERROR(INDEX('Exercise Library'!$B$6:$B$120,MATCH(C105,ExerciseNames,0)),"")</f>
        <v/>
      </c>
      <c r="E105" s="32">
        <f>IFERROR(INDEX('Exercise Library'!$E$6:$E$120,MATCH(C105,ExerciseNames,0)),"")</f>
        <v/>
      </c>
      <c r="F105" s="31">
        <f>IFERROR(INDEX('Exercise Library'!$F$6:$F$120,MATCH(C105,ExerciseNames,0)),"")</f>
        <v/>
      </c>
      <c r="G105" s="31" t="n"/>
      <c r="H105" s="32" t="n"/>
      <c r="I105" s="29">
        <f>IF($A105="","",IF($A105='Day View'!$B$4,COUNTIFS($A$5:$A105,'Day View'!$B$4),""))</f>
        <v/>
      </c>
    </row>
    <row r="106">
      <c r="A106" s="30" t="n"/>
      <c r="B106" s="31" t="n"/>
      <c r="C106" s="31" t="n"/>
      <c r="D106" s="31">
        <f>IFERROR(INDEX('Exercise Library'!$B$6:$B$120,MATCH(C106,ExerciseNames,0)),"")</f>
        <v/>
      </c>
      <c r="E106" s="32">
        <f>IFERROR(INDEX('Exercise Library'!$E$6:$E$120,MATCH(C106,ExerciseNames,0)),"")</f>
        <v/>
      </c>
      <c r="F106" s="31">
        <f>IFERROR(INDEX('Exercise Library'!$F$6:$F$120,MATCH(C106,ExerciseNames,0)),"")</f>
        <v/>
      </c>
      <c r="G106" s="31" t="n"/>
      <c r="H106" s="32" t="n"/>
      <c r="I106" s="29">
        <f>IF($A106="","",IF($A106='Day View'!$B$4,COUNTIFS($A$5:$A106,'Day View'!$B$4),""))</f>
        <v/>
      </c>
    </row>
    <row r="107">
      <c r="A107" s="30" t="n"/>
      <c r="B107" s="31" t="n"/>
      <c r="C107" s="31" t="n"/>
      <c r="D107" s="31">
        <f>IFERROR(INDEX('Exercise Library'!$B$6:$B$120,MATCH(C107,ExerciseNames,0)),"")</f>
        <v/>
      </c>
      <c r="E107" s="32">
        <f>IFERROR(INDEX('Exercise Library'!$E$6:$E$120,MATCH(C107,ExerciseNames,0)),"")</f>
        <v/>
      </c>
      <c r="F107" s="31">
        <f>IFERROR(INDEX('Exercise Library'!$F$6:$F$120,MATCH(C107,ExerciseNames,0)),"")</f>
        <v/>
      </c>
      <c r="G107" s="31" t="n"/>
      <c r="H107" s="32" t="n"/>
      <c r="I107" s="29">
        <f>IF($A107="","",IF($A107='Day View'!$B$4,COUNTIFS($A$5:$A107,'Day View'!$B$4),""))</f>
        <v/>
      </c>
    </row>
    <row r="108">
      <c r="A108" s="30" t="n"/>
      <c r="B108" s="31" t="n"/>
      <c r="C108" s="31" t="n"/>
      <c r="D108" s="31">
        <f>IFERROR(INDEX('Exercise Library'!$B$6:$B$120,MATCH(C108,ExerciseNames,0)),"")</f>
        <v/>
      </c>
      <c r="E108" s="32">
        <f>IFERROR(INDEX('Exercise Library'!$E$6:$E$120,MATCH(C108,ExerciseNames,0)),"")</f>
        <v/>
      </c>
      <c r="F108" s="31">
        <f>IFERROR(INDEX('Exercise Library'!$F$6:$F$120,MATCH(C108,ExerciseNames,0)),"")</f>
        <v/>
      </c>
      <c r="G108" s="31" t="n"/>
      <c r="H108" s="32" t="n"/>
      <c r="I108" s="29">
        <f>IF($A108="","",IF($A108='Day View'!$B$4,COUNTIFS($A$5:$A108,'Day View'!$B$4),""))</f>
        <v/>
      </c>
    </row>
    <row r="109">
      <c r="A109" s="30" t="n"/>
      <c r="B109" s="31" t="n"/>
      <c r="C109" s="31" t="n"/>
      <c r="D109" s="31">
        <f>IFERROR(INDEX('Exercise Library'!$B$6:$B$120,MATCH(C109,ExerciseNames,0)),"")</f>
        <v/>
      </c>
      <c r="E109" s="32">
        <f>IFERROR(INDEX('Exercise Library'!$E$6:$E$120,MATCH(C109,ExerciseNames,0)),"")</f>
        <v/>
      </c>
      <c r="F109" s="31">
        <f>IFERROR(INDEX('Exercise Library'!$F$6:$F$120,MATCH(C109,ExerciseNames,0)),"")</f>
        <v/>
      </c>
      <c r="G109" s="31" t="n"/>
      <c r="H109" s="32" t="n"/>
      <c r="I109" s="29">
        <f>IF($A109="","",IF($A109='Day View'!$B$4,COUNTIFS($A$5:$A109,'Day View'!$B$4),""))</f>
        <v/>
      </c>
    </row>
    <row r="110">
      <c r="A110" s="30" t="n"/>
      <c r="B110" s="31" t="n"/>
      <c r="C110" s="31" t="n"/>
      <c r="D110" s="31">
        <f>IFERROR(INDEX('Exercise Library'!$B$6:$B$120,MATCH(C110,ExerciseNames,0)),"")</f>
        <v/>
      </c>
      <c r="E110" s="32">
        <f>IFERROR(INDEX('Exercise Library'!$E$6:$E$120,MATCH(C110,ExerciseNames,0)),"")</f>
        <v/>
      </c>
      <c r="F110" s="31">
        <f>IFERROR(INDEX('Exercise Library'!$F$6:$F$120,MATCH(C110,ExerciseNames,0)),"")</f>
        <v/>
      </c>
      <c r="G110" s="31" t="n"/>
      <c r="H110" s="32" t="n"/>
      <c r="I110" s="29">
        <f>IF($A110="","",IF($A110='Day View'!$B$4,COUNTIFS($A$5:$A110,'Day View'!$B$4),""))</f>
        <v/>
      </c>
    </row>
    <row r="111">
      <c r="A111" s="30" t="n"/>
      <c r="B111" s="31" t="n"/>
      <c r="C111" s="31" t="n"/>
      <c r="D111" s="31">
        <f>IFERROR(INDEX('Exercise Library'!$B$6:$B$120,MATCH(C111,ExerciseNames,0)),"")</f>
        <v/>
      </c>
      <c r="E111" s="32">
        <f>IFERROR(INDEX('Exercise Library'!$E$6:$E$120,MATCH(C111,ExerciseNames,0)),"")</f>
        <v/>
      </c>
      <c r="F111" s="31">
        <f>IFERROR(INDEX('Exercise Library'!$F$6:$F$120,MATCH(C111,ExerciseNames,0)),"")</f>
        <v/>
      </c>
      <c r="G111" s="31" t="n"/>
      <c r="H111" s="32" t="n"/>
      <c r="I111" s="29">
        <f>IF($A111="","",IF($A111='Day View'!$B$4,COUNTIFS($A$5:$A111,'Day View'!$B$4),""))</f>
        <v/>
      </c>
    </row>
    <row r="112">
      <c r="A112" s="30" t="n"/>
      <c r="B112" s="31" t="n"/>
      <c r="C112" s="31" t="n"/>
      <c r="D112" s="31">
        <f>IFERROR(INDEX('Exercise Library'!$B$6:$B$120,MATCH(C112,ExerciseNames,0)),"")</f>
        <v/>
      </c>
      <c r="E112" s="32">
        <f>IFERROR(INDEX('Exercise Library'!$E$6:$E$120,MATCH(C112,ExerciseNames,0)),"")</f>
        <v/>
      </c>
      <c r="F112" s="31">
        <f>IFERROR(INDEX('Exercise Library'!$F$6:$F$120,MATCH(C112,ExerciseNames,0)),"")</f>
        <v/>
      </c>
      <c r="G112" s="31" t="n"/>
      <c r="H112" s="32" t="n"/>
      <c r="I112" s="29">
        <f>IF($A112="","",IF($A112='Day View'!$B$4,COUNTIFS($A$5:$A112,'Day View'!$B$4),""))</f>
        <v/>
      </c>
    </row>
    <row r="113">
      <c r="A113" s="30" t="n"/>
      <c r="B113" s="31" t="n"/>
      <c r="C113" s="31" t="n"/>
      <c r="D113" s="31">
        <f>IFERROR(INDEX('Exercise Library'!$B$6:$B$120,MATCH(C113,ExerciseNames,0)),"")</f>
        <v/>
      </c>
      <c r="E113" s="32">
        <f>IFERROR(INDEX('Exercise Library'!$E$6:$E$120,MATCH(C113,ExerciseNames,0)),"")</f>
        <v/>
      </c>
      <c r="F113" s="31">
        <f>IFERROR(INDEX('Exercise Library'!$F$6:$F$120,MATCH(C113,ExerciseNames,0)),"")</f>
        <v/>
      </c>
      <c r="G113" s="31" t="n"/>
      <c r="H113" s="32" t="n"/>
      <c r="I113" s="29">
        <f>IF($A113="","",IF($A113='Day View'!$B$4,COUNTIFS($A$5:$A113,'Day View'!$B$4),""))</f>
        <v/>
      </c>
    </row>
    <row r="114">
      <c r="A114" s="30" t="n"/>
      <c r="B114" s="31" t="n"/>
      <c r="C114" s="31" t="n"/>
      <c r="D114" s="31">
        <f>IFERROR(INDEX('Exercise Library'!$B$6:$B$120,MATCH(C114,ExerciseNames,0)),"")</f>
        <v/>
      </c>
      <c r="E114" s="32">
        <f>IFERROR(INDEX('Exercise Library'!$E$6:$E$120,MATCH(C114,ExerciseNames,0)),"")</f>
        <v/>
      </c>
      <c r="F114" s="31">
        <f>IFERROR(INDEX('Exercise Library'!$F$6:$F$120,MATCH(C114,ExerciseNames,0)),"")</f>
        <v/>
      </c>
      <c r="G114" s="31" t="n"/>
      <c r="H114" s="32" t="n"/>
      <c r="I114" s="29">
        <f>IF($A114="","",IF($A114='Day View'!$B$4,COUNTIFS($A$5:$A114,'Day View'!$B$4),""))</f>
        <v/>
      </c>
    </row>
    <row r="115">
      <c r="A115" s="30" t="n"/>
      <c r="B115" s="31" t="n"/>
      <c r="C115" s="31" t="n"/>
      <c r="D115" s="31">
        <f>IFERROR(INDEX('Exercise Library'!$B$6:$B$120,MATCH(C115,ExerciseNames,0)),"")</f>
        <v/>
      </c>
      <c r="E115" s="32">
        <f>IFERROR(INDEX('Exercise Library'!$E$6:$E$120,MATCH(C115,ExerciseNames,0)),"")</f>
        <v/>
      </c>
      <c r="F115" s="31">
        <f>IFERROR(INDEX('Exercise Library'!$F$6:$F$120,MATCH(C115,ExerciseNames,0)),"")</f>
        <v/>
      </c>
      <c r="G115" s="31" t="n"/>
      <c r="H115" s="32" t="n"/>
      <c r="I115" s="29">
        <f>IF($A115="","",IF($A115='Day View'!$B$4,COUNTIFS($A$5:$A115,'Day View'!$B$4),""))</f>
        <v/>
      </c>
    </row>
    <row r="116">
      <c r="A116" s="30" t="n"/>
      <c r="B116" s="31" t="n"/>
      <c r="C116" s="31" t="n"/>
      <c r="D116" s="31">
        <f>IFERROR(INDEX('Exercise Library'!$B$6:$B$120,MATCH(C116,ExerciseNames,0)),"")</f>
        <v/>
      </c>
      <c r="E116" s="32">
        <f>IFERROR(INDEX('Exercise Library'!$E$6:$E$120,MATCH(C116,ExerciseNames,0)),"")</f>
        <v/>
      </c>
      <c r="F116" s="31">
        <f>IFERROR(INDEX('Exercise Library'!$F$6:$F$120,MATCH(C116,ExerciseNames,0)),"")</f>
        <v/>
      </c>
      <c r="G116" s="31" t="n"/>
      <c r="H116" s="32" t="n"/>
      <c r="I116" s="29">
        <f>IF($A116="","",IF($A116='Day View'!$B$4,COUNTIFS($A$5:$A116,'Day View'!$B$4),""))</f>
        <v/>
      </c>
    </row>
    <row r="117">
      <c r="A117" s="30" t="n"/>
      <c r="B117" s="31" t="n"/>
      <c r="C117" s="31" t="n"/>
      <c r="D117" s="31">
        <f>IFERROR(INDEX('Exercise Library'!$B$6:$B$120,MATCH(C117,ExerciseNames,0)),"")</f>
        <v/>
      </c>
      <c r="E117" s="32">
        <f>IFERROR(INDEX('Exercise Library'!$E$6:$E$120,MATCH(C117,ExerciseNames,0)),"")</f>
        <v/>
      </c>
      <c r="F117" s="31">
        <f>IFERROR(INDEX('Exercise Library'!$F$6:$F$120,MATCH(C117,ExerciseNames,0)),"")</f>
        <v/>
      </c>
      <c r="G117" s="31" t="n"/>
      <c r="H117" s="32" t="n"/>
      <c r="I117" s="29">
        <f>IF($A117="","",IF($A117='Day View'!$B$4,COUNTIFS($A$5:$A117,'Day View'!$B$4),""))</f>
        <v/>
      </c>
    </row>
    <row r="118">
      <c r="A118" s="30" t="n"/>
      <c r="B118" s="31" t="n"/>
      <c r="C118" s="31" t="n"/>
      <c r="D118" s="31">
        <f>IFERROR(INDEX('Exercise Library'!$B$6:$B$120,MATCH(C118,ExerciseNames,0)),"")</f>
        <v/>
      </c>
      <c r="E118" s="32">
        <f>IFERROR(INDEX('Exercise Library'!$E$6:$E$120,MATCH(C118,ExerciseNames,0)),"")</f>
        <v/>
      </c>
      <c r="F118" s="31">
        <f>IFERROR(INDEX('Exercise Library'!$F$6:$F$120,MATCH(C118,ExerciseNames,0)),"")</f>
        <v/>
      </c>
      <c r="G118" s="31" t="n"/>
      <c r="H118" s="32" t="n"/>
      <c r="I118" s="29">
        <f>IF($A118="","",IF($A118='Day View'!$B$4,COUNTIFS($A$5:$A118,'Day View'!$B$4),""))</f>
        <v/>
      </c>
    </row>
    <row r="119">
      <c r="A119" s="30" t="n"/>
      <c r="B119" s="31" t="n"/>
      <c r="C119" s="31" t="n"/>
      <c r="D119" s="31">
        <f>IFERROR(INDEX('Exercise Library'!$B$6:$B$120,MATCH(C119,ExerciseNames,0)),"")</f>
        <v/>
      </c>
      <c r="E119" s="32">
        <f>IFERROR(INDEX('Exercise Library'!$E$6:$E$120,MATCH(C119,ExerciseNames,0)),"")</f>
        <v/>
      </c>
      <c r="F119" s="31">
        <f>IFERROR(INDEX('Exercise Library'!$F$6:$F$120,MATCH(C119,ExerciseNames,0)),"")</f>
        <v/>
      </c>
      <c r="G119" s="31" t="n"/>
      <c r="H119" s="32" t="n"/>
      <c r="I119" s="29">
        <f>IF($A119="","",IF($A119='Day View'!$B$4,COUNTIFS($A$5:$A119,'Day View'!$B$4),""))</f>
        <v/>
      </c>
    </row>
    <row r="120">
      <c r="A120" s="30" t="n"/>
      <c r="B120" s="31" t="n"/>
      <c r="C120" s="31" t="n"/>
      <c r="D120" s="31">
        <f>IFERROR(INDEX('Exercise Library'!$B$6:$B$120,MATCH(C120,ExerciseNames,0)),"")</f>
        <v/>
      </c>
      <c r="E120" s="32">
        <f>IFERROR(INDEX('Exercise Library'!$E$6:$E$120,MATCH(C120,ExerciseNames,0)),"")</f>
        <v/>
      </c>
      <c r="F120" s="31">
        <f>IFERROR(INDEX('Exercise Library'!$F$6:$F$120,MATCH(C120,ExerciseNames,0)),"")</f>
        <v/>
      </c>
      <c r="G120" s="31" t="n"/>
      <c r="H120" s="32" t="n"/>
      <c r="I120" s="29">
        <f>IF($A120="","",IF($A120='Day View'!$B$4,COUNTIFS($A$5:$A120,'Day View'!$B$4),""))</f>
        <v/>
      </c>
    </row>
    <row r="121">
      <c r="A121" s="30" t="n"/>
      <c r="B121" s="31" t="n"/>
      <c r="C121" s="31" t="n"/>
      <c r="D121" s="31">
        <f>IFERROR(INDEX('Exercise Library'!$B$6:$B$120,MATCH(C121,ExerciseNames,0)),"")</f>
        <v/>
      </c>
      <c r="E121" s="32">
        <f>IFERROR(INDEX('Exercise Library'!$E$6:$E$120,MATCH(C121,ExerciseNames,0)),"")</f>
        <v/>
      </c>
      <c r="F121" s="31">
        <f>IFERROR(INDEX('Exercise Library'!$F$6:$F$120,MATCH(C121,ExerciseNames,0)),"")</f>
        <v/>
      </c>
      <c r="G121" s="31" t="n"/>
      <c r="H121" s="32" t="n"/>
      <c r="I121" s="29">
        <f>IF($A121="","",IF($A121='Day View'!$B$4,COUNTIFS($A$5:$A121,'Day View'!$B$4),""))</f>
        <v/>
      </c>
    </row>
    <row r="122">
      <c r="A122" s="30" t="n"/>
      <c r="B122" s="31" t="n"/>
      <c r="C122" s="31" t="n"/>
      <c r="D122" s="31">
        <f>IFERROR(INDEX('Exercise Library'!$B$6:$B$120,MATCH(C122,ExerciseNames,0)),"")</f>
        <v/>
      </c>
      <c r="E122" s="32">
        <f>IFERROR(INDEX('Exercise Library'!$E$6:$E$120,MATCH(C122,ExerciseNames,0)),"")</f>
        <v/>
      </c>
      <c r="F122" s="31">
        <f>IFERROR(INDEX('Exercise Library'!$F$6:$F$120,MATCH(C122,ExerciseNames,0)),"")</f>
        <v/>
      </c>
      <c r="G122" s="31" t="n"/>
      <c r="H122" s="32" t="n"/>
      <c r="I122" s="29">
        <f>IF($A122="","",IF($A122='Day View'!$B$4,COUNTIFS($A$5:$A122,'Day View'!$B$4),""))</f>
        <v/>
      </c>
    </row>
    <row r="123">
      <c r="A123" s="30" t="n"/>
      <c r="B123" s="31" t="n"/>
      <c r="C123" s="31" t="n"/>
      <c r="D123" s="31">
        <f>IFERROR(INDEX('Exercise Library'!$B$6:$B$120,MATCH(C123,ExerciseNames,0)),"")</f>
        <v/>
      </c>
      <c r="E123" s="32">
        <f>IFERROR(INDEX('Exercise Library'!$E$6:$E$120,MATCH(C123,ExerciseNames,0)),"")</f>
        <v/>
      </c>
      <c r="F123" s="31">
        <f>IFERROR(INDEX('Exercise Library'!$F$6:$F$120,MATCH(C123,ExerciseNames,0)),"")</f>
        <v/>
      </c>
      <c r="G123" s="31" t="n"/>
      <c r="H123" s="32" t="n"/>
      <c r="I123" s="29">
        <f>IF($A123="","",IF($A123='Day View'!$B$4,COUNTIFS($A$5:$A123,'Day View'!$B$4),""))</f>
        <v/>
      </c>
    </row>
    <row r="124">
      <c r="A124" s="30" t="n"/>
      <c r="B124" s="31" t="n"/>
      <c r="C124" s="31" t="n"/>
      <c r="D124" s="31">
        <f>IFERROR(INDEX('Exercise Library'!$B$6:$B$120,MATCH(C124,ExerciseNames,0)),"")</f>
        <v/>
      </c>
      <c r="E124" s="32">
        <f>IFERROR(INDEX('Exercise Library'!$E$6:$E$120,MATCH(C124,ExerciseNames,0)),"")</f>
        <v/>
      </c>
      <c r="F124" s="31">
        <f>IFERROR(INDEX('Exercise Library'!$F$6:$F$120,MATCH(C124,ExerciseNames,0)),"")</f>
        <v/>
      </c>
      <c r="G124" s="31" t="n"/>
      <c r="H124" s="32" t="n"/>
      <c r="I124" s="29">
        <f>IF($A124="","",IF($A124='Day View'!$B$4,COUNTIFS($A$5:$A124,'Day View'!$B$4),""))</f>
        <v/>
      </c>
    </row>
    <row r="125">
      <c r="A125" s="30" t="n"/>
      <c r="B125" s="31" t="n"/>
      <c r="C125" s="31" t="n"/>
      <c r="D125" s="31">
        <f>IFERROR(INDEX('Exercise Library'!$B$6:$B$120,MATCH(C125,ExerciseNames,0)),"")</f>
        <v/>
      </c>
      <c r="E125" s="32">
        <f>IFERROR(INDEX('Exercise Library'!$E$6:$E$120,MATCH(C125,ExerciseNames,0)),"")</f>
        <v/>
      </c>
      <c r="F125" s="31">
        <f>IFERROR(INDEX('Exercise Library'!$F$6:$F$120,MATCH(C125,ExerciseNames,0)),"")</f>
        <v/>
      </c>
      <c r="G125" s="31" t="n"/>
      <c r="H125" s="32" t="n"/>
      <c r="I125" s="29">
        <f>IF($A125="","",IF($A125='Day View'!$B$4,COUNTIFS($A$5:$A125,'Day View'!$B$4),""))</f>
        <v/>
      </c>
    </row>
    <row r="126">
      <c r="A126" s="30" t="n"/>
      <c r="B126" s="31" t="n"/>
      <c r="C126" s="31" t="n"/>
      <c r="D126" s="31">
        <f>IFERROR(INDEX('Exercise Library'!$B$6:$B$120,MATCH(C126,ExerciseNames,0)),"")</f>
        <v/>
      </c>
      <c r="E126" s="32">
        <f>IFERROR(INDEX('Exercise Library'!$E$6:$E$120,MATCH(C126,ExerciseNames,0)),"")</f>
        <v/>
      </c>
      <c r="F126" s="31">
        <f>IFERROR(INDEX('Exercise Library'!$F$6:$F$120,MATCH(C126,ExerciseNames,0)),"")</f>
        <v/>
      </c>
      <c r="G126" s="31" t="n"/>
      <c r="H126" s="32" t="n"/>
      <c r="I126" s="29">
        <f>IF($A126="","",IF($A126='Day View'!$B$4,COUNTIFS($A$5:$A126,'Day View'!$B$4),""))</f>
        <v/>
      </c>
    </row>
    <row r="127">
      <c r="A127" s="30" t="n"/>
      <c r="B127" s="31" t="n"/>
      <c r="C127" s="31" t="n"/>
      <c r="D127" s="31">
        <f>IFERROR(INDEX('Exercise Library'!$B$6:$B$120,MATCH(C127,ExerciseNames,0)),"")</f>
        <v/>
      </c>
      <c r="E127" s="32">
        <f>IFERROR(INDEX('Exercise Library'!$E$6:$E$120,MATCH(C127,ExerciseNames,0)),"")</f>
        <v/>
      </c>
      <c r="F127" s="31">
        <f>IFERROR(INDEX('Exercise Library'!$F$6:$F$120,MATCH(C127,ExerciseNames,0)),"")</f>
        <v/>
      </c>
      <c r="G127" s="31" t="n"/>
      <c r="H127" s="32" t="n"/>
      <c r="I127" s="29">
        <f>IF($A127="","",IF($A127='Day View'!$B$4,COUNTIFS($A$5:$A127,'Day View'!$B$4),""))</f>
        <v/>
      </c>
    </row>
    <row r="128">
      <c r="A128" s="30" t="n"/>
      <c r="B128" s="31" t="n"/>
      <c r="C128" s="31" t="n"/>
      <c r="D128" s="31">
        <f>IFERROR(INDEX('Exercise Library'!$B$6:$B$120,MATCH(C128,ExerciseNames,0)),"")</f>
        <v/>
      </c>
      <c r="E128" s="32">
        <f>IFERROR(INDEX('Exercise Library'!$E$6:$E$120,MATCH(C128,ExerciseNames,0)),"")</f>
        <v/>
      </c>
      <c r="F128" s="31">
        <f>IFERROR(INDEX('Exercise Library'!$F$6:$F$120,MATCH(C128,ExerciseNames,0)),"")</f>
        <v/>
      </c>
      <c r="G128" s="31" t="n"/>
      <c r="H128" s="32" t="n"/>
      <c r="I128" s="29">
        <f>IF($A128="","",IF($A128='Day View'!$B$4,COUNTIFS($A$5:$A128,'Day View'!$B$4),""))</f>
        <v/>
      </c>
    </row>
    <row r="129">
      <c r="A129" s="30" t="n"/>
      <c r="B129" s="31" t="n"/>
      <c r="C129" s="31" t="n"/>
      <c r="D129" s="31">
        <f>IFERROR(INDEX('Exercise Library'!$B$6:$B$120,MATCH(C129,ExerciseNames,0)),"")</f>
        <v/>
      </c>
      <c r="E129" s="32">
        <f>IFERROR(INDEX('Exercise Library'!$E$6:$E$120,MATCH(C129,ExerciseNames,0)),"")</f>
        <v/>
      </c>
      <c r="F129" s="31">
        <f>IFERROR(INDEX('Exercise Library'!$F$6:$F$120,MATCH(C129,ExerciseNames,0)),"")</f>
        <v/>
      </c>
      <c r="G129" s="31" t="n"/>
      <c r="H129" s="32" t="n"/>
      <c r="I129" s="29">
        <f>IF($A129="","",IF($A129='Day View'!$B$4,COUNTIFS($A$5:$A129,'Day View'!$B$4),""))</f>
        <v/>
      </c>
    </row>
    <row r="130">
      <c r="A130" s="30" t="n"/>
      <c r="B130" s="31" t="n"/>
      <c r="C130" s="31" t="n"/>
      <c r="D130" s="31">
        <f>IFERROR(INDEX('Exercise Library'!$B$6:$B$120,MATCH(C130,ExerciseNames,0)),"")</f>
        <v/>
      </c>
      <c r="E130" s="32">
        <f>IFERROR(INDEX('Exercise Library'!$E$6:$E$120,MATCH(C130,ExerciseNames,0)),"")</f>
        <v/>
      </c>
      <c r="F130" s="31">
        <f>IFERROR(INDEX('Exercise Library'!$F$6:$F$120,MATCH(C130,ExerciseNames,0)),"")</f>
        <v/>
      </c>
      <c r="G130" s="31" t="n"/>
      <c r="H130" s="32" t="n"/>
      <c r="I130" s="29">
        <f>IF($A130="","",IF($A130='Day View'!$B$4,COUNTIFS($A$5:$A130,'Day View'!$B$4),""))</f>
        <v/>
      </c>
    </row>
    <row r="131">
      <c r="A131" s="30" t="n"/>
      <c r="B131" s="31" t="n"/>
      <c r="C131" s="31" t="n"/>
      <c r="D131" s="31">
        <f>IFERROR(INDEX('Exercise Library'!$B$6:$B$120,MATCH(C131,ExerciseNames,0)),"")</f>
        <v/>
      </c>
      <c r="E131" s="32">
        <f>IFERROR(INDEX('Exercise Library'!$E$6:$E$120,MATCH(C131,ExerciseNames,0)),"")</f>
        <v/>
      </c>
      <c r="F131" s="31">
        <f>IFERROR(INDEX('Exercise Library'!$F$6:$F$120,MATCH(C131,ExerciseNames,0)),"")</f>
        <v/>
      </c>
      <c r="G131" s="31" t="n"/>
      <c r="H131" s="32" t="n"/>
      <c r="I131" s="29">
        <f>IF($A131="","",IF($A131='Day View'!$B$4,COUNTIFS($A$5:$A131,'Day View'!$B$4),""))</f>
        <v/>
      </c>
    </row>
    <row r="132">
      <c r="A132" s="30" t="n"/>
      <c r="B132" s="31" t="n"/>
      <c r="C132" s="31" t="n"/>
      <c r="D132" s="31">
        <f>IFERROR(INDEX('Exercise Library'!$B$6:$B$120,MATCH(C132,ExerciseNames,0)),"")</f>
        <v/>
      </c>
      <c r="E132" s="32">
        <f>IFERROR(INDEX('Exercise Library'!$E$6:$E$120,MATCH(C132,ExerciseNames,0)),"")</f>
        <v/>
      </c>
      <c r="F132" s="31">
        <f>IFERROR(INDEX('Exercise Library'!$F$6:$F$120,MATCH(C132,ExerciseNames,0)),"")</f>
        <v/>
      </c>
      <c r="G132" s="31" t="n"/>
      <c r="H132" s="32" t="n"/>
      <c r="I132" s="29">
        <f>IF($A132="","",IF($A132='Day View'!$B$4,COUNTIFS($A$5:$A132,'Day View'!$B$4),""))</f>
        <v/>
      </c>
    </row>
    <row r="133">
      <c r="A133" s="30" t="n"/>
      <c r="B133" s="31" t="n"/>
      <c r="C133" s="31" t="n"/>
      <c r="D133" s="31">
        <f>IFERROR(INDEX('Exercise Library'!$B$6:$B$120,MATCH(C133,ExerciseNames,0)),"")</f>
        <v/>
      </c>
      <c r="E133" s="32">
        <f>IFERROR(INDEX('Exercise Library'!$E$6:$E$120,MATCH(C133,ExerciseNames,0)),"")</f>
        <v/>
      </c>
      <c r="F133" s="31">
        <f>IFERROR(INDEX('Exercise Library'!$F$6:$F$120,MATCH(C133,ExerciseNames,0)),"")</f>
        <v/>
      </c>
      <c r="G133" s="31" t="n"/>
      <c r="H133" s="32" t="n"/>
      <c r="I133" s="29">
        <f>IF($A133="","",IF($A133='Day View'!$B$4,COUNTIFS($A$5:$A133,'Day View'!$B$4),""))</f>
        <v/>
      </c>
    </row>
    <row r="134">
      <c r="A134" s="30" t="n"/>
      <c r="B134" s="31" t="n"/>
      <c r="C134" s="31" t="n"/>
      <c r="D134" s="31">
        <f>IFERROR(INDEX('Exercise Library'!$B$6:$B$120,MATCH(C134,ExerciseNames,0)),"")</f>
        <v/>
      </c>
      <c r="E134" s="32">
        <f>IFERROR(INDEX('Exercise Library'!$E$6:$E$120,MATCH(C134,ExerciseNames,0)),"")</f>
        <v/>
      </c>
      <c r="F134" s="31">
        <f>IFERROR(INDEX('Exercise Library'!$F$6:$F$120,MATCH(C134,ExerciseNames,0)),"")</f>
        <v/>
      </c>
      <c r="G134" s="31" t="n"/>
      <c r="H134" s="32" t="n"/>
      <c r="I134" s="29">
        <f>IF($A134="","",IF($A134='Day View'!$B$4,COUNTIFS($A$5:$A134,'Day View'!$B$4),""))</f>
        <v/>
      </c>
    </row>
    <row r="135">
      <c r="A135" s="30" t="n"/>
      <c r="B135" s="31" t="n"/>
      <c r="C135" s="31" t="n"/>
      <c r="D135" s="31">
        <f>IFERROR(INDEX('Exercise Library'!$B$6:$B$120,MATCH(C135,ExerciseNames,0)),"")</f>
        <v/>
      </c>
      <c r="E135" s="32">
        <f>IFERROR(INDEX('Exercise Library'!$E$6:$E$120,MATCH(C135,ExerciseNames,0)),"")</f>
        <v/>
      </c>
      <c r="F135" s="31">
        <f>IFERROR(INDEX('Exercise Library'!$F$6:$F$120,MATCH(C135,ExerciseNames,0)),"")</f>
        <v/>
      </c>
      <c r="G135" s="31" t="n"/>
      <c r="H135" s="32" t="n"/>
      <c r="I135" s="29">
        <f>IF($A135="","",IF($A135='Day View'!$B$4,COUNTIFS($A$5:$A135,'Day View'!$B$4),""))</f>
        <v/>
      </c>
    </row>
    <row r="136">
      <c r="A136" s="30" t="n"/>
      <c r="B136" s="31" t="n"/>
      <c r="C136" s="31" t="n"/>
      <c r="D136" s="31">
        <f>IFERROR(INDEX('Exercise Library'!$B$6:$B$120,MATCH(C136,ExerciseNames,0)),"")</f>
        <v/>
      </c>
      <c r="E136" s="32">
        <f>IFERROR(INDEX('Exercise Library'!$E$6:$E$120,MATCH(C136,ExerciseNames,0)),"")</f>
        <v/>
      </c>
      <c r="F136" s="31">
        <f>IFERROR(INDEX('Exercise Library'!$F$6:$F$120,MATCH(C136,ExerciseNames,0)),"")</f>
        <v/>
      </c>
      <c r="G136" s="31" t="n"/>
      <c r="H136" s="32" t="n"/>
      <c r="I136" s="29">
        <f>IF($A136="","",IF($A136='Day View'!$B$4,COUNTIFS($A$5:$A136,'Day View'!$B$4),""))</f>
        <v/>
      </c>
    </row>
    <row r="137">
      <c r="A137" s="30" t="n"/>
      <c r="B137" s="31" t="n"/>
      <c r="C137" s="31" t="n"/>
      <c r="D137" s="31">
        <f>IFERROR(INDEX('Exercise Library'!$B$6:$B$120,MATCH(C137,ExerciseNames,0)),"")</f>
        <v/>
      </c>
      <c r="E137" s="32">
        <f>IFERROR(INDEX('Exercise Library'!$E$6:$E$120,MATCH(C137,ExerciseNames,0)),"")</f>
        <v/>
      </c>
      <c r="F137" s="31">
        <f>IFERROR(INDEX('Exercise Library'!$F$6:$F$120,MATCH(C137,ExerciseNames,0)),"")</f>
        <v/>
      </c>
      <c r="G137" s="31" t="n"/>
      <c r="H137" s="32" t="n"/>
      <c r="I137" s="29">
        <f>IF($A137="","",IF($A137='Day View'!$B$4,COUNTIFS($A$5:$A137,'Day View'!$B$4),""))</f>
        <v/>
      </c>
    </row>
    <row r="138">
      <c r="A138" s="30" t="n"/>
      <c r="B138" s="31" t="n"/>
      <c r="C138" s="31" t="n"/>
      <c r="D138" s="31">
        <f>IFERROR(INDEX('Exercise Library'!$B$6:$B$120,MATCH(C138,ExerciseNames,0)),"")</f>
        <v/>
      </c>
      <c r="E138" s="32">
        <f>IFERROR(INDEX('Exercise Library'!$E$6:$E$120,MATCH(C138,ExerciseNames,0)),"")</f>
        <v/>
      </c>
      <c r="F138" s="31">
        <f>IFERROR(INDEX('Exercise Library'!$F$6:$F$120,MATCH(C138,ExerciseNames,0)),"")</f>
        <v/>
      </c>
      <c r="G138" s="31" t="n"/>
      <c r="H138" s="32" t="n"/>
      <c r="I138" s="29">
        <f>IF($A138="","",IF($A138='Day View'!$B$4,COUNTIFS($A$5:$A138,'Day View'!$B$4),""))</f>
        <v/>
      </c>
    </row>
    <row r="139">
      <c r="A139" s="30" t="n"/>
      <c r="B139" s="31" t="n"/>
      <c r="C139" s="31" t="n"/>
      <c r="D139" s="31">
        <f>IFERROR(INDEX('Exercise Library'!$B$6:$B$120,MATCH(C139,ExerciseNames,0)),"")</f>
        <v/>
      </c>
      <c r="E139" s="32">
        <f>IFERROR(INDEX('Exercise Library'!$E$6:$E$120,MATCH(C139,ExerciseNames,0)),"")</f>
        <v/>
      </c>
      <c r="F139" s="31">
        <f>IFERROR(INDEX('Exercise Library'!$F$6:$F$120,MATCH(C139,ExerciseNames,0)),"")</f>
        <v/>
      </c>
      <c r="G139" s="31" t="n"/>
      <c r="H139" s="32" t="n"/>
      <c r="I139" s="29">
        <f>IF($A139="","",IF($A139='Day View'!$B$4,COUNTIFS($A$5:$A139,'Day View'!$B$4),""))</f>
        <v/>
      </c>
    </row>
    <row r="140">
      <c r="A140" s="30" t="n"/>
      <c r="B140" s="31" t="n"/>
      <c r="C140" s="31" t="n"/>
      <c r="D140" s="31">
        <f>IFERROR(INDEX('Exercise Library'!$B$6:$B$120,MATCH(C140,ExerciseNames,0)),"")</f>
        <v/>
      </c>
      <c r="E140" s="32">
        <f>IFERROR(INDEX('Exercise Library'!$E$6:$E$120,MATCH(C140,ExerciseNames,0)),"")</f>
        <v/>
      </c>
      <c r="F140" s="31">
        <f>IFERROR(INDEX('Exercise Library'!$F$6:$F$120,MATCH(C140,ExerciseNames,0)),"")</f>
        <v/>
      </c>
      <c r="G140" s="31" t="n"/>
      <c r="H140" s="32" t="n"/>
      <c r="I140" s="29">
        <f>IF($A140="","",IF($A140='Day View'!$B$4,COUNTIFS($A$5:$A140,'Day View'!$B$4),""))</f>
        <v/>
      </c>
    </row>
    <row r="141">
      <c r="A141" s="30" t="n"/>
      <c r="B141" s="31" t="n"/>
      <c r="C141" s="31" t="n"/>
      <c r="D141" s="31">
        <f>IFERROR(INDEX('Exercise Library'!$B$6:$B$120,MATCH(C141,ExerciseNames,0)),"")</f>
        <v/>
      </c>
      <c r="E141" s="32">
        <f>IFERROR(INDEX('Exercise Library'!$E$6:$E$120,MATCH(C141,ExerciseNames,0)),"")</f>
        <v/>
      </c>
      <c r="F141" s="31">
        <f>IFERROR(INDEX('Exercise Library'!$F$6:$F$120,MATCH(C141,ExerciseNames,0)),"")</f>
        <v/>
      </c>
      <c r="G141" s="31" t="n"/>
      <c r="H141" s="32" t="n"/>
      <c r="I141" s="29">
        <f>IF($A141="","",IF($A141='Day View'!$B$4,COUNTIFS($A$5:$A141,'Day View'!$B$4),""))</f>
        <v/>
      </c>
    </row>
    <row r="142">
      <c r="A142" s="30" t="n"/>
      <c r="B142" s="31" t="n"/>
      <c r="C142" s="31" t="n"/>
      <c r="D142" s="31">
        <f>IFERROR(INDEX('Exercise Library'!$B$6:$B$120,MATCH(C142,ExerciseNames,0)),"")</f>
        <v/>
      </c>
      <c r="E142" s="32">
        <f>IFERROR(INDEX('Exercise Library'!$E$6:$E$120,MATCH(C142,ExerciseNames,0)),"")</f>
        <v/>
      </c>
      <c r="F142" s="31">
        <f>IFERROR(INDEX('Exercise Library'!$F$6:$F$120,MATCH(C142,ExerciseNames,0)),"")</f>
        <v/>
      </c>
      <c r="G142" s="31" t="n"/>
      <c r="H142" s="32" t="n"/>
      <c r="I142" s="29">
        <f>IF($A142="","",IF($A142='Day View'!$B$4,COUNTIFS($A$5:$A142,'Day View'!$B$4),""))</f>
        <v/>
      </c>
    </row>
    <row r="143">
      <c r="A143" s="30" t="n"/>
      <c r="B143" s="31" t="n"/>
      <c r="C143" s="31" t="n"/>
      <c r="D143" s="31">
        <f>IFERROR(INDEX('Exercise Library'!$B$6:$B$120,MATCH(C143,ExerciseNames,0)),"")</f>
        <v/>
      </c>
      <c r="E143" s="32">
        <f>IFERROR(INDEX('Exercise Library'!$E$6:$E$120,MATCH(C143,ExerciseNames,0)),"")</f>
        <v/>
      </c>
      <c r="F143" s="31">
        <f>IFERROR(INDEX('Exercise Library'!$F$6:$F$120,MATCH(C143,ExerciseNames,0)),"")</f>
        <v/>
      </c>
      <c r="G143" s="31" t="n"/>
      <c r="H143" s="32" t="n"/>
      <c r="I143" s="29">
        <f>IF($A143="","",IF($A143='Day View'!$B$4,COUNTIFS($A$5:$A143,'Day View'!$B$4),""))</f>
        <v/>
      </c>
    </row>
    <row r="144">
      <c r="A144" s="30" t="n"/>
      <c r="B144" s="31" t="n"/>
      <c r="C144" s="31" t="n"/>
      <c r="D144" s="31">
        <f>IFERROR(INDEX('Exercise Library'!$B$6:$B$120,MATCH(C144,ExerciseNames,0)),"")</f>
        <v/>
      </c>
      <c r="E144" s="32">
        <f>IFERROR(INDEX('Exercise Library'!$E$6:$E$120,MATCH(C144,ExerciseNames,0)),"")</f>
        <v/>
      </c>
      <c r="F144" s="31">
        <f>IFERROR(INDEX('Exercise Library'!$F$6:$F$120,MATCH(C144,ExerciseNames,0)),"")</f>
        <v/>
      </c>
      <c r="G144" s="31" t="n"/>
      <c r="H144" s="32" t="n"/>
      <c r="I144" s="29">
        <f>IF($A144="","",IF($A144='Day View'!$B$4,COUNTIFS($A$5:$A144,'Day View'!$B$4),""))</f>
        <v/>
      </c>
    </row>
    <row r="145">
      <c r="A145" s="30" t="n"/>
      <c r="B145" s="31" t="n"/>
      <c r="C145" s="31" t="n"/>
      <c r="D145" s="31">
        <f>IFERROR(INDEX('Exercise Library'!$B$6:$B$120,MATCH(C145,ExerciseNames,0)),"")</f>
        <v/>
      </c>
      <c r="E145" s="32">
        <f>IFERROR(INDEX('Exercise Library'!$E$6:$E$120,MATCH(C145,ExerciseNames,0)),"")</f>
        <v/>
      </c>
      <c r="F145" s="31">
        <f>IFERROR(INDEX('Exercise Library'!$F$6:$F$120,MATCH(C145,ExerciseNames,0)),"")</f>
        <v/>
      </c>
      <c r="G145" s="31" t="n"/>
      <c r="H145" s="32" t="n"/>
      <c r="I145" s="29">
        <f>IF($A145="","",IF($A145='Day View'!$B$4,COUNTIFS($A$5:$A145,'Day View'!$B$4),""))</f>
        <v/>
      </c>
    </row>
    <row r="146">
      <c r="A146" s="30" t="n"/>
      <c r="B146" s="31" t="n"/>
      <c r="C146" s="31" t="n"/>
      <c r="D146" s="31">
        <f>IFERROR(INDEX('Exercise Library'!$B$6:$B$120,MATCH(C146,ExerciseNames,0)),"")</f>
        <v/>
      </c>
      <c r="E146" s="32">
        <f>IFERROR(INDEX('Exercise Library'!$E$6:$E$120,MATCH(C146,ExerciseNames,0)),"")</f>
        <v/>
      </c>
      <c r="F146" s="31">
        <f>IFERROR(INDEX('Exercise Library'!$F$6:$F$120,MATCH(C146,ExerciseNames,0)),"")</f>
        <v/>
      </c>
      <c r="G146" s="31" t="n"/>
      <c r="H146" s="32" t="n"/>
      <c r="I146" s="29">
        <f>IF($A146="","",IF($A146='Day View'!$B$4,COUNTIFS($A$5:$A146,'Day View'!$B$4),""))</f>
        <v/>
      </c>
    </row>
    <row r="147">
      <c r="A147" s="30" t="n"/>
      <c r="B147" s="31" t="n"/>
      <c r="C147" s="31" t="n"/>
      <c r="D147" s="31">
        <f>IFERROR(INDEX('Exercise Library'!$B$6:$B$120,MATCH(C147,ExerciseNames,0)),"")</f>
        <v/>
      </c>
      <c r="E147" s="32">
        <f>IFERROR(INDEX('Exercise Library'!$E$6:$E$120,MATCH(C147,ExerciseNames,0)),"")</f>
        <v/>
      </c>
      <c r="F147" s="31">
        <f>IFERROR(INDEX('Exercise Library'!$F$6:$F$120,MATCH(C147,ExerciseNames,0)),"")</f>
        <v/>
      </c>
      <c r="G147" s="31" t="n"/>
      <c r="H147" s="32" t="n"/>
      <c r="I147" s="29">
        <f>IF($A147="","",IF($A147='Day View'!$B$4,COUNTIFS($A$5:$A147,'Day View'!$B$4),""))</f>
        <v/>
      </c>
    </row>
    <row r="148">
      <c r="A148" s="30" t="n"/>
      <c r="B148" s="31" t="n"/>
      <c r="C148" s="31" t="n"/>
      <c r="D148" s="31">
        <f>IFERROR(INDEX('Exercise Library'!$B$6:$B$120,MATCH(C148,ExerciseNames,0)),"")</f>
        <v/>
      </c>
      <c r="E148" s="32">
        <f>IFERROR(INDEX('Exercise Library'!$E$6:$E$120,MATCH(C148,ExerciseNames,0)),"")</f>
        <v/>
      </c>
      <c r="F148" s="31">
        <f>IFERROR(INDEX('Exercise Library'!$F$6:$F$120,MATCH(C148,ExerciseNames,0)),"")</f>
        <v/>
      </c>
      <c r="G148" s="31" t="n"/>
      <c r="H148" s="32" t="n"/>
      <c r="I148" s="29">
        <f>IF($A148="","",IF($A148='Day View'!$B$4,COUNTIFS($A$5:$A148,'Day View'!$B$4),""))</f>
        <v/>
      </c>
    </row>
    <row r="149">
      <c r="A149" s="30" t="n"/>
      <c r="B149" s="31" t="n"/>
      <c r="C149" s="31" t="n"/>
      <c r="D149" s="31">
        <f>IFERROR(INDEX('Exercise Library'!$B$6:$B$120,MATCH(C149,ExerciseNames,0)),"")</f>
        <v/>
      </c>
      <c r="E149" s="32">
        <f>IFERROR(INDEX('Exercise Library'!$E$6:$E$120,MATCH(C149,ExerciseNames,0)),"")</f>
        <v/>
      </c>
      <c r="F149" s="31">
        <f>IFERROR(INDEX('Exercise Library'!$F$6:$F$120,MATCH(C149,ExerciseNames,0)),"")</f>
        <v/>
      </c>
      <c r="G149" s="31" t="n"/>
      <c r="H149" s="32" t="n"/>
      <c r="I149" s="29">
        <f>IF($A149="","",IF($A149='Day View'!$B$4,COUNTIFS($A$5:$A149,'Day View'!$B$4),""))</f>
        <v/>
      </c>
    </row>
    <row r="150">
      <c r="A150" s="30" t="n"/>
      <c r="B150" s="31" t="n"/>
      <c r="C150" s="31" t="n"/>
      <c r="D150" s="31">
        <f>IFERROR(INDEX('Exercise Library'!$B$6:$B$120,MATCH(C150,ExerciseNames,0)),"")</f>
        <v/>
      </c>
      <c r="E150" s="32">
        <f>IFERROR(INDEX('Exercise Library'!$E$6:$E$120,MATCH(C150,ExerciseNames,0)),"")</f>
        <v/>
      </c>
      <c r="F150" s="31">
        <f>IFERROR(INDEX('Exercise Library'!$F$6:$F$120,MATCH(C150,ExerciseNames,0)),"")</f>
        <v/>
      </c>
      <c r="G150" s="31" t="n"/>
      <c r="H150" s="32" t="n"/>
      <c r="I150" s="29">
        <f>IF($A150="","",IF($A150='Day View'!$B$4,COUNTIFS($A$5:$A150,'Day View'!$B$4),""))</f>
        <v/>
      </c>
    </row>
    <row r="151">
      <c r="A151" s="30" t="n"/>
      <c r="B151" s="31" t="n"/>
      <c r="C151" s="31" t="n"/>
      <c r="D151" s="31">
        <f>IFERROR(INDEX('Exercise Library'!$B$6:$B$120,MATCH(C151,ExerciseNames,0)),"")</f>
        <v/>
      </c>
      <c r="E151" s="32">
        <f>IFERROR(INDEX('Exercise Library'!$E$6:$E$120,MATCH(C151,ExerciseNames,0)),"")</f>
        <v/>
      </c>
      <c r="F151" s="31">
        <f>IFERROR(INDEX('Exercise Library'!$F$6:$F$120,MATCH(C151,ExerciseNames,0)),"")</f>
        <v/>
      </c>
      <c r="G151" s="31" t="n"/>
      <c r="H151" s="32" t="n"/>
      <c r="I151" s="29">
        <f>IF($A151="","",IF($A151='Day View'!$B$4,COUNTIFS($A$5:$A151,'Day View'!$B$4),""))</f>
        <v/>
      </c>
    </row>
    <row r="152">
      <c r="A152" s="30" t="n"/>
      <c r="B152" s="31" t="n"/>
      <c r="C152" s="31" t="n"/>
      <c r="D152" s="31">
        <f>IFERROR(INDEX('Exercise Library'!$B$6:$B$120,MATCH(C152,ExerciseNames,0)),"")</f>
        <v/>
      </c>
      <c r="E152" s="32">
        <f>IFERROR(INDEX('Exercise Library'!$E$6:$E$120,MATCH(C152,ExerciseNames,0)),"")</f>
        <v/>
      </c>
      <c r="F152" s="31">
        <f>IFERROR(INDEX('Exercise Library'!$F$6:$F$120,MATCH(C152,ExerciseNames,0)),"")</f>
        <v/>
      </c>
      <c r="G152" s="31" t="n"/>
      <c r="H152" s="32" t="n"/>
      <c r="I152" s="29">
        <f>IF($A152="","",IF($A152='Day View'!$B$4,COUNTIFS($A$5:$A152,'Day View'!$B$4),""))</f>
        <v/>
      </c>
    </row>
    <row r="153">
      <c r="A153" s="30" t="n"/>
      <c r="B153" s="31" t="n"/>
      <c r="C153" s="31" t="n"/>
      <c r="D153" s="31">
        <f>IFERROR(INDEX('Exercise Library'!$B$6:$B$120,MATCH(C153,ExerciseNames,0)),"")</f>
        <v/>
      </c>
      <c r="E153" s="32">
        <f>IFERROR(INDEX('Exercise Library'!$E$6:$E$120,MATCH(C153,ExerciseNames,0)),"")</f>
        <v/>
      </c>
      <c r="F153" s="31">
        <f>IFERROR(INDEX('Exercise Library'!$F$6:$F$120,MATCH(C153,ExerciseNames,0)),"")</f>
        <v/>
      </c>
      <c r="G153" s="31" t="n"/>
      <c r="H153" s="32" t="n"/>
      <c r="I153" s="29">
        <f>IF($A153="","",IF($A153='Day View'!$B$4,COUNTIFS($A$5:$A153,'Day View'!$B$4),""))</f>
        <v/>
      </c>
    </row>
    <row r="154">
      <c r="A154" s="30" t="n"/>
      <c r="B154" s="31" t="n"/>
      <c r="C154" s="31" t="n"/>
      <c r="D154" s="31">
        <f>IFERROR(INDEX('Exercise Library'!$B$6:$B$120,MATCH(C154,ExerciseNames,0)),"")</f>
        <v/>
      </c>
      <c r="E154" s="32">
        <f>IFERROR(INDEX('Exercise Library'!$E$6:$E$120,MATCH(C154,ExerciseNames,0)),"")</f>
        <v/>
      </c>
      <c r="F154" s="31">
        <f>IFERROR(INDEX('Exercise Library'!$F$6:$F$120,MATCH(C154,ExerciseNames,0)),"")</f>
        <v/>
      </c>
      <c r="G154" s="31" t="n"/>
      <c r="H154" s="32" t="n"/>
      <c r="I154" s="29">
        <f>IF($A154="","",IF($A154='Day View'!$B$4,COUNTIFS($A$5:$A154,'Day View'!$B$4),""))</f>
        <v/>
      </c>
    </row>
    <row r="155">
      <c r="A155" s="30" t="n"/>
      <c r="B155" s="31" t="n"/>
      <c r="C155" s="31" t="n"/>
      <c r="D155" s="31">
        <f>IFERROR(INDEX('Exercise Library'!$B$6:$B$120,MATCH(C155,ExerciseNames,0)),"")</f>
        <v/>
      </c>
      <c r="E155" s="32">
        <f>IFERROR(INDEX('Exercise Library'!$E$6:$E$120,MATCH(C155,ExerciseNames,0)),"")</f>
        <v/>
      </c>
      <c r="F155" s="31">
        <f>IFERROR(INDEX('Exercise Library'!$F$6:$F$120,MATCH(C155,ExerciseNames,0)),"")</f>
        <v/>
      </c>
      <c r="G155" s="31" t="n"/>
      <c r="H155" s="32" t="n"/>
      <c r="I155" s="29">
        <f>IF($A155="","",IF($A155='Day View'!$B$4,COUNTIFS($A$5:$A155,'Day View'!$B$4),""))</f>
        <v/>
      </c>
    </row>
    <row r="156">
      <c r="A156" s="30" t="n"/>
      <c r="B156" s="31" t="n"/>
      <c r="C156" s="31" t="n"/>
      <c r="D156" s="31">
        <f>IFERROR(INDEX('Exercise Library'!$B$6:$B$120,MATCH(C156,ExerciseNames,0)),"")</f>
        <v/>
      </c>
      <c r="E156" s="32">
        <f>IFERROR(INDEX('Exercise Library'!$E$6:$E$120,MATCH(C156,ExerciseNames,0)),"")</f>
        <v/>
      </c>
      <c r="F156" s="31">
        <f>IFERROR(INDEX('Exercise Library'!$F$6:$F$120,MATCH(C156,ExerciseNames,0)),"")</f>
        <v/>
      </c>
      <c r="G156" s="31" t="n"/>
      <c r="H156" s="32" t="n"/>
      <c r="I156" s="29">
        <f>IF($A156="","",IF($A156='Day View'!$B$4,COUNTIFS($A$5:$A156,'Day View'!$B$4),""))</f>
        <v/>
      </c>
    </row>
    <row r="157">
      <c r="A157" s="30" t="n"/>
      <c r="B157" s="31" t="n"/>
      <c r="C157" s="31" t="n"/>
      <c r="D157" s="31">
        <f>IFERROR(INDEX('Exercise Library'!$B$6:$B$120,MATCH(C157,ExerciseNames,0)),"")</f>
        <v/>
      </c>
      <c r="E157" s="32">
        <f>IFERROR(INDEX('Exercise Library'!$E$6:$E$120,MATCH(C157,ExerciseNames,0)),"")</f>
        <v/>
      </c>
      <c r="F157" s="31">
        <f>IFERROR(INDEX('Exercise Library'!$F$6:$F$120,MATCH(C157,ExerciseNames,0)),"")</f>
        <v/>
      </c>
      <c r="G157" s="31" t="n"/>
      <c r="H157" s="32" t="n"/>
      <c r="I157" s="29">
        <f>IF($A157="","",IF($A157='Day View'!$B$4,COUNTIFS($A$5:$A157,'Day View'!$B$4),""))</f>
        <v/>
      </c>
    </row>
    <row r="158">
      <c r="A158" s="30" t="n"/>
      <c r="B158" s="31" t="n"/>
      <c r="C158" s="31" t="n"/>
      <c r="D158" s="31">
        <f>IFERROR(INDEX('Exercise Library'!$B$6:$B$120,MATCH(C158,ExerciseNames,0)),"")</f>
        <v/>
      </c>
      <c r="E158" s="32">
        <f>IFERROR(INDEX('Exercise Library'!$E$6:$E$120,MATCH(C158,ExerciseNames,0)),"")</f>
        <v/>
      </c>
      <c r="F158" s="31">
        <f>IFERROR(INDEX('Exercise Library'!$F$6:$F$120,MATCH(C158,ExerciseNames,0)),"")</f>
        <v/>
      </c>
      <c r="G158" s="31" t="n"/>
      <c r="H158" s="32" t="n"/>
      <c r="I158" s="29">
        <f>IF($A158="","",IF($A158='Day View'!$B$4,COUNTIFS($A$5:$A158,'Day View'!$B$4),""))</f>
        <v/>
      </c>
    </row>
    <row r="159">
      <c r="A159" s="30" t="n"/>
      <c r="B159" s="31" t="n"/>
      <c r="C159" s="31" t="n"/>
      <c r="D159" s="31">
        <f>IFERROR(INDEX('Exercise Library'!$B$6:$B$120,MATCH(C159,ExerciseNames,0)),"")</f>
        <v/>
      </c>
      <c r="E159" s="32">
        <f>IFERROR(INDEX('Exercise Library'!$E$6:$E$120,MATCH(C159,ExerciseNames,0)),"")</f>
        <v/>
      </c>
      <c r="F159" s="31">
        <f>IFERROR(INDEX('Exercise Library'!$F$6:$F$120,MATCH(C159,ExerciseNames,0)),"")</f>
        <v/>
      </c>
      <c r="G159" s="31" t="n"/>
      <c r="H159" s="32" t="n"/>
      <c r="I159" s="29">
        <f>IF($A159="","",IF($A159='Day View'!$B$4,COUNTIFS($A$5:$A159,'Day View'!$B$4),""))</f>
        <v/>
      </c>
    </row>
    <row r="160">
      <c r="A160" s="30" t="n"/>
      <c r="B160" s="31" t="n"/>
      <c r="C160" s="31" t="n"/>
      <c r="D160" s="31">
        <f>IFERROR(INDEX('Exercise Library'!$B$6:$B$120,MATCH(C160,ExerciseNames,0)),"")</f>
        <v/>
      </c>
      <c r="E160" s="32">
        <f>IFERROR(INDEX('Exercise Library'!$E$6:$E$120,MATCH(C160,ExerciseNames,0)),"")</f>
        <v/>
      </c>
      <c r="F160" s="31">
        <f>IFERROR(INDEX('Exercise Library'!$F$6:$F$120,MATCH(C160,ExerciseNames,0)),"")</f>
        <v/>
      </c>
      <c r="G160" s="31" t="n"/>
      <c r="H160" s="32" t="n"/>
      <c r="I160" s="29">
        <f>IF($A160="","",IF($A160='Day View'!$B$4,COUNTIFS($A$5:$A160,'Day View'!$B$4),""))</f>
        <v/>
      </c>
    </row>
    <row r="161">
      <c r="A161" s="30" t="n"/>
      <c r="B161" s="31" t="n"/>
      <c r="C161" s="31" t="n"/>
      <c r="D161" s="31">
        <f>IFERROR(INDEX('Exercise Library'!$B$6:$B$120,MATCH(C161,ExerciseNames,0)),"")</f>
        <v/>
      </c>
      <c r="E161" s="32">
        <f>IFERROR(INDEX('Exercise Library'!$E$6:$E$120,MATCH(C161,ExerciseNames,0)),"")</f>
        <v/>
      </c>
      <c r="F161" s="31">
        <f>IFERROR(INDEX('Exercise Library'!$F$6:$F$120,MATCH(C161,ExerciseNames,0)),"")</f>
        <v/>
      </c>
      <c r="G161" s="31" t="n"/>
      <c r="H161" s="32" t="n"/>
      <c r="I161" s="29">
        <f>IF($A161="","",IF($A161='Day View'!$B$4,COUNTIFS($A$5:$A161,'Day View'!$B$4),""))</f>
        <v/>
      </c>
    </row>
    <row r="162">
      <c r="A162" s="30" t="n"/>
      <c r="B162" s="31" t="n"/>
      <c r="C162" s="31" t="n"/>
      <c r="D162" s="31">
        <f>IFERROR(INDEX('Exercise Library'!$B$6:$B$120,MATCH(C162,ExerciseNames,0)),"")</f>
        <v/>
      </c>
      <c r="E162" s="32">
        <f>IFERROR(INDEX('Exercise Library'!$E$6:$E$120,MATCH(C162,ExerciseNames,0)),"")</f>
        <v/>
      </c>
      <c r="F162" s="31">
        <f>IFERROR(INDEX('Exercise Library'!$F$6:$F$120,MATCH(C162,ExerciseNames,0)),"")</f>
        <v/>
      </c>
      <c r="G162" s="31" t="n"/>
      <c r="H162" s="32" t="n"/>
      <c r="I162" s="29">
        <f>IF($A162="","",IF($A162='Day View'!$B$4,COUNTIFS($A$5:$A162,'Day View'!$B$4),""))</f>
        <v/>
      </c>
    </row>
    <row r="163">
      <c r="A163" s="30" t="n"/>
      <c r="B163" s="31" t="n"/>
      <c r="C163" s="31" t="n"/>
      <c r="D163" s="31">
        <f>IFERROR(INDEX('Exercise Library'!$B$6:$B$120,MATCH(C163,ExerciseNames,0)),"")</f>
        <v/>
      </c>
      <c r="E163" s="32">
        <f>IFERROR(INDEX('Exercise Library'!$E$6:$E$120,MATCH(C163,ExerciseNames,0)),"")</f>
        <v/>
      </c>
      <c r="F163" s="31">
        <f>IFERROR(INDEX('Exercise Library'!$F$6:$F$120,MATCH(C163,ExerciseNames,0)),"")</f>
        <v/>
      </c>
      <c r="G163" s="31" t="n"/>
      <c r="H163" s="32" t="n"/>
      <c r="I163" s="29">
        <f>IF($A163="","",IF($A163='Day View'!$B$4,COUNTIFS($A$5:$A163,'Day View'!$B$4),""))</f>
        <v/>
      </c>
    </row>
    <row r="164">
      <c r="A164" s="30" t="n"/>
      <c r="B164" s="31" t="n"/>
      <c r="C164" s="31" t="n"/>
      <c r="D164" s="31">
        <f>IFERROR(INDEX('Exercise Library'!$B$6:$B$120,MATCH(C164,ExerciseNames,0)),"")</f>
        <v/>
      </c>
      <c r="E164" s="32">
        <f>IFERROR(INDEX('Exercise Library'!$E$6:$E$120,MATCH(C164,ExerciseNames,0)),"")</f>
        <v/>
      </c>
      <c r="F164" s="31">
        <f>IFERROR(INDEX('Exercise Library'!$F$6:$F$120,MATCH(C164,ExerciseNames,0)),"")</f>
        <v/>
      </c>
      <c r="G164" s="31" t="n"/>
      <c r="H164" s="32" t="n"/>
      <c r="I164" s="29">
        <f>IF($A164="","",IF($A164='Day View'!$B$4,COUNTIFS($A$5:$A164,'Day View'!$B$4),""))</f>
        <v/>
      </c>
    </row>
    <row r="165">
      <c r="A165" s="30" t="n"/>
      <c r="B165" s="31" t="n"/>
      <c r="C165" s="31" t="n"/>
      <c r="D165" s="31">
        <f>IFERROR(INDEX('Exercise Library'!$B$6:$B$120,MATCH(C165,ExerciseNames,0)),"")</f>
        <v/>
      </c>
      <c r="E165" s="32">
        <f>IFERROR(INDEX('Exercise Library'!$E$6:$E$120,MATCH(C165,ExerciseNames,0)),"")</f>
        <v/>
      </c>
      <c r="F165" s="31">
        <f>IFERROR(INDEX('Exercise Library'!$F$6:$F$120,MATCH(C165,ExerciseNames,0)),"")</f>
        <v/>
      </c>
      <c r="G165" s="31" t="n"/>
      <c r="H165" s="32" t="n"/>
      <c r="I165" s="29">
        <f>IF($A165="","",IF($A165='Day View'!$B$4,COUNTIFS($A$5:$A165,'Day View'!$B$4),""))</f>
        <v/>
      </c>
    </row>
    <row r="166">
      <c r="A166" s="30" t="n"/>
      <c r="B166" s="31" t="n"/>
      <c r="C166" s="31" t="n"/>
      <c r="D166" s="31">
        <f>IFERROR(INDEX('Exercise Library'!$B$6:$B$120,MATCH(C166,ExerciseNames,0)),"")</f>
        <v/>
      </c>
      <c r="E166" s="32">
        <f>IFERROR(INDEX('Exercise Library'!$E$6:$E$120,MATCH(C166,ExerciseNames,0)),"")</f>
        <v/>
      </c>
      <c r="F166" s="31">
        <f>IFERROR(INDEX('Exercise Library'!$F$6:$F$120,MATCH(C166,ExerciseNames,0)),"")</f>
        <v/>
      </c>
      <c r="G166" s="31" t="n"/>
      <c r="H166" s="32" t="n"/>
      <c r="I166" s="29">
        <f>IF($A166="","",IF($A166='Day View'!$B$4,COUNTIFS($A$5:$A166,'Day View'!$B$4),""))</f>
        <v/>
      </c>
    </row>
    <row r="167">
      <c r="A167" s="30" t="n"/>
      <c r="B167" s="31" t="n"/>
      <c r="C167" s="31" t="n"/>
      <c r="D167" s="31">
        <f>IFERROR(INDEX('Exercise Library'!$B$6:$B$120,MATCH(C167,ExerciseNames,0)),"")</f>
        <v/>
      </c>
      <c r="E167" s="32">
        <f>IFERROR(INDEX('Exercise Library'!$E$6:$E$120,MATCH(C167,ExerciseNames,0)),"")</f>
        <v/>
      </c>
      <c r="F167" s="31">
        <f>IFERROR(INDEX('Exercise Library'!$F$6:$F$120,MATCH(C167,ExerciseNames,0)),"")</f>
        <v/>
      </c>
      <c r="G167" s="31" t="n"/>
      <c r="H167" s="32" t="n"/>
      <c r="I167" s="29">
        <f>IF($A167="","",IF($A167='Day View'!$B$4,COUNTIFS($A$5:$A167,'Day View'!$B$4),""))</f>
        <v/>
      </c>
    </row>
    <row r="168">
      <c r="A168" s="30" t="n"/>
      <c r="B168" s="31" t="n"/>
      <c r="C168" s="31" t="n"/>
      <c r="D168" s="31">
        <f>IFERROR(INDEX('Exercise Library'!$B$6:$B$120,MATCH(C168,ExerciseNames,0)),"")</f>
        <v/>
      </c>
      <c r="E168" s="32">
        <f>IFERROR(INDEX('Exercise Library'!$E$6:$E$120,MATCH(C168,ExerciseNames,0)),"")</f>
        <v/>
      </c>
      <c r="F168" s="31">
        <f>IFERROR(INDEX('Exercise Library'!$F$6:$F$120,MATCH(C168,ExerciseNames,0)),"")</f>
        <v/>
      </c>
      <c r="G168" s="31" t="n"/>
      <c r="H168" s="32" t="n"/>
      <c r="I168" s="29">
        <f>IF($A168="","",IF($A168='Day View'!$B$4,COUNTIFS($A$5:$A168,'Day View'!$B$4),""))</f>
        <v/>
      </c>
    </row>
    <row r="169">
      <c r="A169" s="30" t="n"/>
      <c r="B169" s="31" t="n"/>
      <c r="C169" s="31" t="n"/>
      <c r="D169" s="31">
        <f>IFERROR(INDEX('Exercise Library'!$B$6:$B$120,MATCH(C169,ExerciseNames,0)),"")</f>
        <v/>
      </c>
      <c r="E169" s="32">
        <f>IFERROR(INDEX('Exercise Library'!$E$6:$E$120,MATCH(C169,ExerciseNames,0)),"")</f>
        <v/>
      </c>
      <c r="F169" s="31">
        <f>IFERROR(INDEX('Exercise Library'!$F$6:$F$120,MATCH(C169,ExerciseNames,0)),"")</f>
        <v/>
      </c>
      <c r="G169" s="31" t="n"/>
      <c r="H169" s="32" t="n"/>
      <c r="I169" s="29">
        <f>IF($A169="","",IF($A169='Day View'!$B$4,COUNTIFS($A$5:$A169,'Day View'!$B$4),""))</f>
        <v/>
      </c>
    </row>
    <row r="170">
      <c r="A170" s="30" t="n"/>
      <c r="B170" s="31" t="n"/>
      <c r="C170" s="31" t="n"/>
      <c r="D170" s="31">
        <f>IFERROR(INDEX('Exercise Library'!$B$6:$B$120,MATCH(C170,ExerciseNames,0)),"")</f>
        <v/>
      </c>
      <c r="E170" s="32">
        <f>IFERROR(INDEX('Exercise Library'!$E$6:$E$120,MATCH(C170,ExerciseNames,0)),"")</f>
        <v/>
      </c>
      <c r="F170" s="31">
        <f>IFERROR(INDEX('Exercise Library'!$F$6:$F$120,MATCH(C170,ExerciseNames,0)),"")</f>
        <v/>
      </c>
      <c r="G170" s="31" t="n"/>
      <c r="H170" s="32" t="n"/>
      <c r="I170" s="29">
        <f>IF($A170="","",IF($A170='Day View'!$B$4,COUNTIFS($A$5:$A170,'Day View'!$B$4),""))</f>
        <v/>
      </c>
    </row>
    <row r="171">
      <c r="A171" s="30" t="n"/>
      <c r="B171" s="31" t="n"/>
      <c r="C171" s="31" t="n"/>
      <c r="D171" s="31">
        <f>IFERROR(INDEX('Exercise Library'!$B$6:$B$120,MATCH(C171,ExerciseNames,0)),"")</f>
        <v/>
      </c>
      <c r="E171" s="32">
        <f>IFERROR(INDEX('Exercise Library'!$E$6:$E$120,MATCH(C171,ExerciseNames,0)),"")</f>
        <v/>
      </c>
      <c r="F171" s="31">
        <f>IFERROR(INDEX('Exercise Library'!$F$6:$F$120,MATCH(C171,ExerciseNames,0)),"")</f>
        <v/>
      </c>
      <c r="G171" s="31" t="n"/>
      <c r="H171" s="32" t="n"/>
      <c r="I171" s="29">
        <f>IF($A171="","",IF($A171='Day View'!$B$4,COUNTIFS($A$5:$A171,'Day View'!$B$4),""))</f>
        <v/>
      </c>
    </row>
    <row r="172">
      <c r="A172" s="30" t="n"/>
      <c r="B172" s="31" t="n"/>
      <c r="C172" s="31" t="n"/>
      <c r="D172" s="31">
        <f>IFERROR(INDEX('Exercise Library'!$B$6:$B$120,MATCH(C172,ExerciseNames,0)),"")</f>
        <v/>
      </c>
      <c r="E172" s="32">
        <f>IFERROR(INDEX('Exercise Library'!$E$6:$E$120,MATCH(C172,ExerciseNames,0)),"")</f>
        <v/>
      </c>
      <c r="F172" s="31">
        <f>IFERROR(INDEX('Exercise Library'!$F$6:$F$120,MATCH(C172,ExerciseNames,0)),"")</f>
        <v/>
      </c>
      <c r="G172" s="31" t="n"/>
      <c r="H172" s="32" t="n"/>
      <c r="I172" s="29">
        <f>IF($A172="","",IF($A172='Day View'!$B$4,COUNTIFS($A$5:$A172,'Day View'!$B$4),""))</f>
        <v/>
      </c>
    </row>
    <row r="173">
      <c r="A173" s="30" t="n"/>
      <c r="B173" s="31" t="n"/>
      <c r="C173" s="31" t="n"/>
      <c r="D173" s="31">
        <f>IFERROR(INDEX('Exercise Library'!$B$6:$B$120,MATCH(C173,ExerciseNames,0)),"")</f>
        <v/>
      </c>
      <c r="E173" s="32">
        <f>IFERROR(INDEX('Exercise Library'!$E$6:$E$120,MATCH(C173,ExerciseNames,0)),"")</f>
        <v/>
      </c>
      <c r="F173" s="31">
        <f>IFERROR(INDEX('Exercise Library'!$F$6:$F$120,MATCH(C173,ExerciseNames,0)),"")</f>
        <v/>
      </c>
      <c r="G173" s="31" t="n"/>
      <c r="H173" s="32" t="n"/>
      <c r="I173" s="29">
        <f>IF($A173="","",IF($A173='Day View'!$B$4,COUNTIFS($A$5:$A173,'Day View'!$B$4),""))</f>
        <v/>
      </c>
    </row>
    <row r="174">
      <c r="A174" s="30" t="n"/>
      <c r="B174" s="31" t="n"/>
      <c r="C174" s="31" t="n"/>
      <c r="D174" s="31">
        <f>IFERROR(INDEX('Exercise Library'!$B$6:$B$120,MATCH(C174,ExerciseNames,0)),"")</f>
        <v/>
      </c>
      <c r="E174" s="32">
        <f>IFERROR(INDEX('Exercise Library'!$E$6:$E$120,MATCH(C174,ExerciseNames,0)),"")</f>
        <v/>
      </c>
      <c r="F174" s="31">
        <f>IFERROR(INDEX('Exercise Library'!$F$6:$F$120,MATCH(C174,ExerciseNames,0)),"")</f>
        <v/>
      </c>
      <c r="G174" s="31" t="n"/>
      <c r="H174" s="32" t="n"/>
      <c r="I174" s="29">
        <f>IF($A174="","",IF($A174='Day View'!$B$4,COUNTIFS($A$5:$A174,'Day View'!$B$4),""))</f>
        <v/>
      </c>
    </row>
    <row r="175">
      <c r="A175" s="30" t="n"/>
      <c r="B175" s="31" t="n"/>
      <c r="C175" s="31" t="n"/>
      <c r="D175" s="31">
        <f>IFERROR(INDEX('Exercise Library'!$B$6:$B$120,MATCH(C175,ExerciseNames,0)),"")</f>
        <v/>
      </c>
      <c r="E175" s="32">
        <f>IFERROR(INDEX('Exercise Library'!$E$6:$E$120,MATCH(C175,ExerciseNames,0)),"")</f>
        <v/>
      </c>
      <c r="F175" s="31">
        <f>IFERROR(INDEX('Exercise Library'!$F$6:$F$120,MATCH(C175,ExerciseNames,0)),"")</f>
        <v/>
      </c>
      <c r="G175" s="31" t="n"/>
      <c r="H175" s="32" t="n"/>
      <c r="I175" s="29">
        <f>IF($A175="","",IF($A175='Day View'!$B$4,COUNTIFS($A$5:$A175,'Day View'!$B$4),""))</f>
        <v/>
      </c>
    </row>
    <row r="176">
      <c r="A176" s="30" t="n"/>
      <c r="B176" s="31" t="n"/>
      <c r="C176" s="31" t="n"/>
      <c r="D176" s="31">
        <f>IFERROR(INDEX('Exercise Library'!$B$6:$B$120,MATCH(C176,ExerciseNames,0)),"")</f>
        <v/>
      </c>
      <c r="E176" s="32">
        <f>IFERROR(INDEX('Exercise Library'!$E$6:$E$120,MATCH(C176,ExerciseNames,0)),"")</f>
        <v/>
      </c>
      <c r="F176" s="31">
        <f>IFERROR(INDEX('Exercise Library'!$F$6:$F$120,MATCH(C176,ExerciseNames,0)),"")</f>
        <v/>
      </c>
      <c r="G176" s="31" t="n"/>
      <c r="H176" s="32" t="n"/>
      <c r="I176" s="29">
        <f>IF($A176="","",IF($A176='Day View'!$B$4,COUNTIFS($A$5:$A176,'Day View'!$B$4),""))</f>
        <v/>
      </c>
    </row>
    <row r="177">
      <c r="A177" s="30" t="n"/>
      <c r="B177" s="31" t="n"/>
      <c r="C177" s="31" t="n"/>
      <c r="D177" s="31">
        <f>IFERROR(INDEX('Exercise Library'!$B$6:$B$120,MATCH(C177,ExerciseNames,0)),"")</f>
        <v/>
      </c>
      <c r="E177" s="32">
        <f>IFERROR(INDEX('Exercise Library'!$E$6:$E$120,MATCH(C177,ExerciseNames,0)),"")</f>
        <v/>
      </c>
      <c r="F177" s="31">
        <f>IFERROR(INDEX('Exercise Library'!$F$6:$F$120,MATCH(C177,ExerciseNames,0)),"")</f>
        <v/>
      </c>
      <c r="G177" s="31" t="n"/>
      <c r="H177" s="32" t="n"/>
      <c r="I177" s="29">
        <f>IF($A177="","",IF($A177='Day View'!$B$4,COUNTIFS($A$5:$A177,'Day View'!$B$4),""))</f>
        <v/>
      </c>
    </row>
    <row r="178">
      <c r="A178" s="30" t="n"/>
      <c r="B178" s="31" t="n"/>
      <c r="C178" s="31" t="n"/>
      <c r="D178" s="31">
        <f>IFERROR(INDEX('Exercise Library'!$B$6:$B$120,MATCH(C178,ExerciseNames,0)),"")</f>
        <v/>
      </c>
      <c r="E178" s="32">
        <f>IFERROR(INDEX('Exercise Library'!$E$6:$E$120,MATCH(C178,ExerciseNames,0)),"")</f>
        <v/>
      </c>
      <c r="F178" s="31">
        <f>IFERROR(INDEX('Exercise Library'!$F$6:$F$120,MATCH(C178,ExerciseNames,0)),"")</f>
        <v/>
      </c>
      <c r="G178" s="31" t="n"/>
      <c r="H178" s="32" t="n"/>
      <c r="I178" s="29">
        <f>IF($A178="","",IF($A178='Day View'!$B$4,COUNTIFS($A$5:$A178,'Day View'!$B$4),""))</f>
        <v/>
      </c>
    </row>
    <row r="179">
      <c r="A179" s="30" t="n"/>
      <c r="B179" s="31" t="n"/>
      <c r="C179" s="31" t="n"/>
      <c r="D179" s="31">
        <f>IFERROR(INDEX('Exercise Library'!$B$6:$B$120,MATCH(C179,ExerciseNames,0)),"")</f>
        <v/>
      </c>
      <c r="E179" s="32">
        <f>IFERROR(INDEX('Exercise Library'!$E$6:$E$120,MATCH(C179,ExerciseNames,0)),"")</f>
        <v/>
      </c>
      <c r="F179" s="31">
        <f>IFERROR(INDEX('Exercise Library'!$F$6:$F$120,MATCH(C179,ExerciseNames,0)),"")</f>
        <v/>
      </c>
      <c r="G179" s="31" t="n"/>
      <c r="H179" s="32" t="n"/>
      <c r="I179" s="29">
        <f>IF($A179="","",IF($A179='Day View'!$B$4,COUNTIFS($A$5:$A179,'Day View'!$B$4),""))</f>
        <v/>
      </c>
    </row>
    <row r="180">
      <c r="A180" s="30" t="n"/>
      <c r="B180" s="31" t="n"/>
      <c r="C180" s="31" t="n"/>
      <c r="D180" s="31">
        <f>IFERROR(INDEX('Exercise Library'!$B$6:$B$120,MATCH(C180,ExerciseNames,0)),"")</f>
        <v/>
      </c>
      <c r="E180" s="32">
        <f>IFERROR(INDEX('Exercise Library'!$E$6:$E$120,MATCH(C180,ExerciseNames,0)),"")</f>
        <v/>
      </c>
      <c r="F180" s="31">
        <f>IFERROR(INDEX('Exercise Library'!$F$6:$F$120,MATCH(C180,ExerciseNames,0)),"")</f>
        <v/>
      </c>
      <c r="G180" s="31" t="n"/>
      <c r="H180" s="32" t="n"/>
      <c r="I180" s="29">
        <f>IF($A180="","",IF($A180='Day View'!$B$4,COUNTIFS($A$5:$A180,'Day View'!$B$4),""))</f>
        <v/>
      </c>
    </row>
    <row r="181">
      <c r="A181" s="30" t="n"/>
      <c r="B181" s="31" t="n"/>
      <c r="C181" s="31" t="n"/>
      <c r="D181" s="31">
        <f>IFERROR(INDEX('Exercise Library'!$B$6:$B$120,MATCH(C181,ExerciseNames,0)),"")</f>
        <v/>
      </c>
      <c r="E181" s="32">
        <f>IFERROR(INDEX('Exercise Library'!$E$6:$E$120,MATCH(C181,ExerciseNames,0)),"")</f>
        <v/>
      </c>
      <c r="F181" s="31">
        <f>IFERROR(INDEX('Exercise Library'!$F$6:$F$120,MATCH(C181,ExerciseNames,0)),"")</f>
        <v/>
      </c>
      <c r="G181" s="31" t="n"/>
      <c r="H181" s="32" t="n"/>
      <c r="I181" s="29">
        <f>IF($A181="","",IF($A181='Day View'!$B$4,COUNTIFS($A$5:$A181,'Day View'!$B$4),""))</f>
        <v/>
      </c>
    </row>
    <row r="182">
      <c r="A182" s="30" t="n"/>
      <c r="B182" s="31" t="n"/>
      <c r="C182" s="31" t="n"/>
      <c r="D182" s="31">
        <f>IFERROR(INDEX('Exercise Library'!$B$6:$B$120,MATCH(C182,ExerciseNames,0)),"")</f>
        <v/>
      </c>
      <c r="E182" s="32">
        <f>IFERROR(INDEX('Exercise Library'!$E$6:$E$120,MATCH(C182,ExerciseNames,0)),"")</f>
        <v/>
      </c>
      <c r="F182" s="31">
        <f>IFERROR(INDEX('Exercise Library'!$F$6:$F$120,MATCH(C182,ExerciseNames,0)),"")</f>
        <v/>
      </c>
      <c r="G182" s="31" t="n"/>
      <c r="H182" s="32" t="n"/>
      <c r="I182" s="29">
        <f>IF($A182="","",IF($A182='Day View'!$B$4,COUNTIFS($A$5:$A182,'Day View'!$B$4),""))</f>
        <v/>
      </c>
    </row>
    <row r="183">
      <c r="A183" s="30" t="n"/>
      <c r="B183" s="31" t="n"/>
      <c r="C183" s="31" t="n"/>
      <c r="D183" s="31">
        <f>IFERROR(INDEX('Exercise Library'!$B$6:$B$120,MATCH(C183,ExerciseNames,0)),"")</f>
        <v/>
      </c>
      <c r="E183" s="32">
        <f>IFERROR(INDEX('Exercise Library'!$E$6:$E$120,MATCH(C183,ExerciseNames,0)),"")</f>
        <v/>
      </c>
      <c r="F183" s="31">
        <f>IFERROR(INDEX('Exercise Library'!$F$6:$F$120,MATCH(C183,ExerciseNames,0)),"")</f>
        <v/>
      </c>
      <c r="G183" s="31" t="n"/>
      <c r="H183" s="32" t="n"/>
      <c r="I183" s="29">
        <f>IF($A183="","",IF($A183='Day View'!$B$4,COUNTIFS($A$5:$A183,'Day View'!$B$4),""))</f>
        <v/>
      </c>
    </row>
    <row r="184">
      <c r="A184" s="30" t="n"/>
      <c r="B184" s="31" t="n"/>
      <c r="C184" s="31" t="n"/>
      <c r="D184" s="31">
        <f>IFERROR(INDEX('Exercise Library'!$B$6:$B$120,MATCH(C184,ExerciseNames,0)),"")</f>
        <v/>
      </c>
      <c r="E184" s="32">
        <f>IFERROR(INDEX('Exercise Library'!$E$6:$E$120,MATCH(C184,ExerciseNames,0)),"")</f>
        <v/>
      </c>
      <c r="F184" s="31">
        <f>IFERROR(INDEX('Exercise Library'!$F$6:$F$120,MATCH(C184,ExerciseNames,0)),"")</f>
        <v/>
      </c>
      <c r="G184" s="31" t="n"/>
      <c r="H184" s="32" t="n"/>
      <c r="I184" s="29">
        <f>IF($A184="","",IF($A184='Day View'!$B$4,COUNTIFS($A$5:$A184,'Day View'!$B$4),""))</f>
        <v/>
      </c>
    </row>
    <row r="185">
      <c r="A185" s="30" t="n"/>
      <c r="B185" s="31" t="n"/>
      <c r="C185" s="31" t="n"/>
      <c r="D185" s="31">
        <f>IFERROR(INDEX('Exercise Library'!$B$6:$B$120,MATCH(C185,ExerciseNames,0)),"")</f>
        <v/>
      </c>
      <c r="E185" s="32">
        <f>IFERROR(INDEX('Exercise Library'!$E$6:$E$120,MATCH(C185,ExerciseNames,0)),"")</f>
        <v/>
      </c>
      <c r="F185" s="31">
        <f>IFERROR(INDEX('Exercise Library'!$F$6:$F$120,MATCH(C185,ExerciseNames,0)),"")</f>
        <v/>
      </c>
      <c r="G185" s="31" t="n"/>
      <c r="H185" s="32" t="n"/>
      <c r="I185" s="29">
        <f>IF($A185="","",IF($A185='Day View'!$B$4,COUNTIFS($A$5:$A185,'Day View'!$B$4),""))</f>
        <v/>
      </c>
    </row>
    <row r="186">
      <c r="A186" s="30" t="n"/>
      <c r="B186" s="31" t="n"/>
      <c r="C186" s="31" t="n"/>
      <c r="D186" s="31">
        <f>IFERROR(INDEX('Exercise Library'!$B$6:$B$120,MATCH(C186,ExerciseNames,0)),"")</f>
        <v/>
      </c>
      <c r="E186" s="32">
        <f>IFERROR(INDEX('Exercise Library'!$E$6:$E$120,MATCH(C186,ExerciseNames,0)),"")</f>
        <v/>
      </c>
      <c r="F186" s="31">
        <f>IFERROR(INDEX('Exercise Library'!$F$6:$F$120,MATCH(C186,ExerciseNames,0)),"")</f>
        <v/>
      </c>
      <c r="G186" s="31" t="n"/>
      <c r="H186" s="32" t="n"/>
      <c r="I186" s="29">
        <f>IF($A186="","",IF($A186='Day View'!$B$4,COUNTIFS($A$5:$A186,'Day View'!$B$4),""))</f>
        <v/>
      </c>
    </row>
    <row r="187">
      <c r="A187" s="30" t="n"/>
      <c r="B187" s="31" t="n"/>
      <c r="C187" s="31" t="n"/>
      <c r="D187" s="31">
        <f>IFERROR(INDEX('Exercise Library'!$B$6:$B$120,MATCH(C187,ExerciseNames,0)),"")</f>
        <v/>
      </c>
      <c r="E187" s="32">
        <f>IFERROR(INDEX('Exercise Library'!$E$6:$E$120,MATCH(C187,ExerciseNames,0)),"")</f>
        <v/>
      </c>
      <c r="F187" s="31">
        <f>IFERROR(INDEX('Exercise Library'!$F$6:$F$120,MATCH(C187,ExerciseNames,0)),"")</f>
        <v/>
      </c>
      <c r="G187" s="31" t="n"/>
      <c r="H187" s="32" t="n"/>
      <c r="I187" s="29">
        <f>IF($A187="","",IF($A187='Day View'!$B$4,COUNTIFS($A$5:$A187,'Day View'!$B$4),""))</f>
        <v/>
      </c>
    </row>
    <row r="188">
      <c r="A188" s="30" t="n"/>
      <c r="B188" s="31" t="n"/>
      <c r="C188" s="31" t="n"/>
      <c r="D188" s="31">
        <f>IFERROR(INDEX('Exercise Library'!$B$6:$B$120,MATCH(C188,ExerciseNames,0)),"")</f>
        <v/>
      </c>
      <c r="E188" s="32">
        <f>IFERROR(INDEX('Exercise Library'!$E$6:$E$120,MATCH(C188,ExerciseNames,0)),"")</f>
        <v/>
      </c>
      <c r="F188" s="31">
        <f>IFERROR(INDEX('Exercise Library'!$F$6:$F$120,MATCH(C188,ExerciseNames,0)),"")</f>
        <v/>
      </c>
      <c r="G188" s="31" t="n"/>
      <c r="H188" s="32" t="n"/>
      <c r="I188" s="29">
        <f>IF($A188="","",IF($A188='Day View'!$B$4,COUNTIFS($A$5:$A188,'Day View'!$B$4),""))</f>
        <v/>
      </c>
    </row>
    <row r="189">
      <c r="A189" s="30" t="n"/>
      <c r="B189" s="31" t="n"/>
      <c r="C189" s="31" t="n"/>
      <c r="D189" s="31">
        <f>IFERROR(INDEX('Exercise Library'!$B$6:$B$120,MATCH(C189,ExerciseNames,0)),"")</f>
        <v/>
      </c>
      <c r="E189" s="32">
        <f>IFERROR(INDEX('Exercise Library'!$E$6:$E$120,MATCH(C189,ExerciseNames,0)),"")</f>
        <v/>
      </c>
      <c r="F189" s="31">
        <f>IFERROR(INDEX('Exercise Library'!$F$6:$F$120,MATCH(C189,ExerciseNames,0)),"")</f>
        <v/>
      </c>
      <c r="G189" s="31" t="n"/>
      <c r="H189" s="32" t="n"/>
      <c r="I189" s="29">
        <f>IF($A189="","",IF($A189='Day View'!$B$4,COUNTIFS($A$5:$A189,'Day View'!$B$4),""))</f>
        <v/>
      </c>
    </row>
    <row r="190">
      <c r="A190" s="30" t="n"/>
      <c r="B190" s="31" t="n"/>
      <c r="C190" s="31" t="n"/>
      <c r="D190" s="31">
        <f>IFERROR(INDEX('Exercise Library'!$B$6:$B$120,MATCH(C190,ExerciseNames,0)),"")</f>
        <v/>
      </c>
      <c r="E190" s="32">
        <f>IFERROR(INDEX('Exercise Library'!$E$6:$E$120,MATCH(C190,ExerciseNames,0)),"")</f>
        <v/>
      </c>
      <c r="F190" s="31">
        <f>IFERROR(INDEX('Exercise Library'!$F$6:$F$120,MATCH(C190,ExerciseNames,0)),"")</f>
        <v/>
      </c>
      <c r="G190" s="31" t="n"/>
      <c r="H190" s="32" t="n"/>
      <c r="I190" s="29">
        <f>IF($A190="","",IF($A190='Day View'!$B$4,COUNTIFS($A$5:$A190,'Day View'!$B$4),""))</f>
        <v/>
      </c>
    </row>
    <row r="191">
      <c r="A191" s="30" t="n"/>
      <c r="B191" s="31" t="n"/>
      <c r="C191" s="31" t="n"/>
      <c r="D191" s="31">
        <f>IFERROR(INDEX('Exercise Library'!$B$6:$B$120,MATCH(C191,ExerciseNames,0)),"")</f>
        <v/>
      </c>
      <c r="E191" s="32">
        <f>IFERROR(INDEX('Exercise Library'!$E$6:$E$120,MATCH(C191,ExerciseNames,0)),"")</f>
        <v/>
      </c>
      <c r="F191" s="31">
        <f>IFERROR(INDEX('Exercise Library'!$F$6:$F$120,MATCH(C191,ExerciseNames,0)),"")</f>
        <v/>
      </c>
      <c r="G191" s="31" t="n"/>
      <c r="H191" s="32" t="n"/>
      <c r="I191" s="29">
        <f>IF($A191="","",IF($A191='Day View'!$B$4,COUNTIFS($A$5:$A191,'Day View'!$B$4),""))</f>
        <v/>
      </c>
    </row>
    <row r="192">
      <c r="A192" s="30" t="n"/>
      <c r="B192" s="31" t="n"/>
      <c r="C192" s="31" t="n"/>
      <c r="D192" s="31">
        <f>IFERROR(INDEX('Exercise Library'!$B$6:$B$120,MATCH(C192,ExerciseNames,0)),"")</f>
        <v/>
      </c>
      <c r="E192" s="32">
        <f>IFERROR(INDEX('Exercise Library'!$E$6:$E$120,MATCH(C192,ExerciseNames,0)),"")</f>
        <v/>
      </c>
      <c r="F192" s="31">
        <f>IFERROR(INDEX('Exercise Library'!$F$6:$F$120,MATCH(C192,ExerciseNames,0)),"")</f>
        <v/>
      </c>
      <c r="G192" s="31" t="n"/>
      <c r="H192" s="32" t="n"/>
      <c r="I192" s="29">
        <f>IF($A192="","",IF($A192='Day View'!$B$4,COUNTIFS($A$5:$A192,'Day View'!$B$4),""))</f>
        <v/>
      </c>
    </row>
    <row r="193">
      <c r="A193" s="30" t="n"/>
      <c r="B193" s="31" t="n"/>
      <c r="C193" s="31" t="n"/>
      <c r="D193" s="31">
        <f>IFERROR(INDEX('Exercise Library'!$B$6:$B$120,MATCH(C193,ExerciseNames,0)),"")</f>
        <v/>
      </c>
      <c r="E193" s="32">
        <f>IFERROR(INDEX('Exercise Library'!$E$6:$E$120,MATCH(C193,ExerciseNames,0)),"")</f>
        <v/>
      </c>
      <c r="F193" s="31">
        <f>IFERROR(INDEX('Exercise Library'!$F$6:$F$120,MATCH(C193,ExerciseNames,0)),"")</f>
        <v/>
      </c>
      <c r="G193" s="31" t="n"/>
      <c r="H193" s="32" t="n"/>
      <c r="I193" s="29">
        <f>IF($A193="","",IF($A193='Day View'!$B$4,COUNTIFS($A$5:$A193,'Day View'!$B$4),""))</f>
        <v/>
      </c>
    </row>
    <row r="194">
      <c r="A194" s="30" t="n"/>
      <c r="B194" s="31" t="n"/>
      <c r="C194" s="31" t="n"/>
      <c r="D194" s="31">
        <f>IFERROR(INDEX('Exercise Library'!$B$6:$B$120,MATCH(C194,ExerciseNames,0)),"")</f>
        <v/>
      </c>
      <c r="E194" s="32">
        <f>IFERROR(INDEX('Exercise Library'!$E$6:$E$120,MATCH(C194,ExerciseNames,0)),"")</f>
        <v/>
      </c>
      <c r="F194" s="31">
        <f>IFERROR(INDEX('Exercise Library'!$F$6:$F$120,MATCH(C194,ExerciseNames,0)),"")</f>
        <v/>
      </c>
      <c r="G194" s="31" t="n"/>
      <c r="H194" s="32" t="n"/>
      <c r="I194" s="29">
        <f>IF($A194="","",IF($A194='Day View'!$B$4,COUNTIFS($A$5:$A194,'Day View'!$B$4),""))</f>
        <v/>
      </c>
    </row>
    <row r="195">
      <c r="A195" s="30" t="n"/>
      <c r="B195" s="31" t="n"/>
      <c r="C195" s="31" t="n"/>
      <c r="D195" s="31">
        <f>IFERROR(INDEX('Exercise Library'!$B$6:$B$120,MATCH(C195,ExerciseNames,0)),"")</f>
        <v/>
      </c>
      <c r="E195" s="32">
        <f>IFERROR(INDEX('Exercise Library'!$E$6:$E$120,MATCH(C195,ExerciseNames,0)),"")</f>
        <v/>
      </c>
      <c r="F195" s="31">
        <f>IFERROR(INDEX('Exercise Library'!$F$6:$F$120,MATCH(C195,ExerciseNames,0)),"")</f>
        <v/>
      </c>
      <c r="G195" s="31" t="n"/>
      <c r="H195" s="32" t="n"/>
      <c r="I195" s="29">
        <f>IF($A195="","",IF($A195='Day View'!$B$4,COUNTIFS($A$5:$A195,'Day View'!$B$4),""))</f>
        <v/>
      </c>
    </row>
    <row r="196">
      <c r="A196" s="30" t="n"/>
      <c r="B196" s="31" t="n"/>
      <c r="C196" s="31" t="n"/>
      <c r="D196" s="31">
        <f>IFERROR(INDEX('Exercise Library'!$B$6:$B$120,MATCH(C196,ExerciseNames,0)),"")</f>
        <v/>
      </c>
      <c r="E196" s="32">
        <f>IFERROR(INDEX('Exercise Library'!$E$6:$E$120,MATCH(C196,ExerciseNames,0)),"")</f>
        <v/>
      </c>
      <c r="F196" s="31">
        <f>IFERROR(INDEX('Exercise Library'!$F$6:$F$120,MATCH(C196,ExerciseNames,0)),"")</f>
        <v/>
      </c>
      <c r="G196" s="31" t="n"/>
      <c r="H196" s="32" t="n"/>
      <c r="I196" s="29">
        <f>IF($A196="","",IF($A196='Day View'!$B$4,COUNTIFS($A$5:$A196,'Day View'!$B$4),""))</f>
        <v/>
      </c>
    </row>
    <row r="197">
      <c r="A197" s="30" t="n"/>
      <c r="B197" s="31" t="n"/>
      <c r="C197" s="31" t="n"/>
      <c r="D197" s="31">
        <f>IFERROR(INDEX('Exercise Library'!$B$6:$B$120,MATCH(C197,ExerciseNames,0)),"")</f>
        <v/>
      </c>
      <c r="E197" s="32">
        <f>IFERROR(INDEX('Exercise Library'!$E$6:$E$120,MATCH(C197,ExerciseNames,0)),"")</f>
        <v/>
      </c>
      <c r="F197" s="31">
        <f>IFERROR(INDEX('Exercise Library'!$F$6:$F$120,MATCH(C197,ExerciseNames,0)),"")</f>
        <v/>
      </c>
      <c r="G197" s="31" t="n"/>
      <c r="H197" s="32" t="n"/>
      <c r="I197" s="29">
        <f>IF($A197="","",IF($A197='Day View'!$B$4,COUNTIFS($A$5:$A197,'Day View'!$B$4),""))</f>
        <v/>
      </c>
    </row>
    <row r="198">
      <c r="A198" s="30" t="n"/>
      <c r="B198" s="31" t="n"/>
      <c r="C198" s="31" t="n"/>
      <c r="D198" s="31">
        <f>IFERROR(INDEX('Exercise Library'!$B$6:$B$120,MATCH(C198,ExerciseNames,0)),"")</f>
        <v/>
      </c>
      <c r="E198" s="32">
        <f>IFERROR(INDEX('Exercise Library'!$E$6:$E$120,MATCH(C198,ExerciseNames,0)),"")</f>
        <v/>
      </c>
      <c r="F198" s="31">
        <f>IFERROR(INDEX('Exercise Library'!$F$6:$F$120,MATCH(C198,ExerciseNames,0)),"")</f>
        <v/>
      </c>
      <c r="G198" s="31" t="n"/>
      <c r="H198" s="32" t="n"/>
      <c r="I198" s="29">
        <f>IF($A198="","",IF($A198='Day View'!$B$4,COUNTIFS($A$5:$A198,'Day View'!$B$4),""))</f>
        <v/>
      </c>
    </row>
    <row r="199">
      <c r="A199" s="30" t="n"/>
      <c r="B199" s="31" t="n"/>
      <c r="C199" s="31" t="n"/>
      <c r="D199" s="31">
        <f>IFERROR(INDEX('Exercise Library'!$B$6:$B$120,MATCH(C199,ExerciseNames,0)),"")</f>
        <v/>
      </c>
      <c r="E199" s="32">
        <f>IFERROR(INDEX('Exercise Library'!$E$6:$E$120,MATCH(C199,ExerciseNames,0)),"")</f>
        <v/>
      </c>
      <c r="F199" s="31">
        <f>IFERROR(INDEX('Exercise Library'!$F$6:$F$120,MATCH(C199,ExerciseNames,0)),"")</f>
        <v/>
      </c>
      <c r="G199" s="31" t="n"/>
      <c r="H199" s="32" t="n"/>
      <c r="I199" s="29">
        <f>IF($A199="","",IF($A199='Day View'!$B$4,COUNTIFS($A$5:$A199,'Day View'!$B$4),""))</f>
        <v/>
      </c>
    </row>
    <row r="200">
      <c r="A200" s="30" t="n"/>
      <c r="B200" s="31" t="n"/>
      <c r="C200" s="31" t="n"/>
      <c r="D200" s="31">
        <f>IFERROR(INDEX('Exercise Library'!$B$6:$B$120,MATCH(C200,ExerciseNames,0)),"")</f>
        <v/>
      </c>
      <c r="E200" s="32">
        <f>IFERROR(INDEX('Exercise Library'!$E$6:$E$120,MATCH(C200,ExerciseNames,0)),"")</f>
        <v/>
      </c>
      <c r="F200" s="31">
        <f>IFERROR(INDEX('Exercise Library'!$F$6:$F$120,MATCH(C200,ExerciseNames,0)),"")</f>
        <v/>
      </c>
      <c r="G200" s="31" t="n"/>
      <c r="H200" s="32" t="n"/>
      <c r="I200" s="29">
        <f>IF($A200="","",IF($A200='Day View'!$B$4,COUNTIFS($A$5:$A200,'Day View'!$B$4),""))</f>
        <v/>
      </c>
    </row>
  </sheetData>
  <mergeCells count="3">
    <mergeCell ref="A2:H2"/>
    <mergeCell ref="C3:H3"/>
    <mergeCell ref="A1:H1"/>
  </mergeCells>
  <dataValidations count="5">
    <dataValidation sqref="B3" showDropDown="0" showInputMessage="0" showErrorMessage="0" allowBlank="0" type="list">
      <formula1>"TRUE,FALSE"</formula1>
    </dataValidation>
    <dataValidation sqref="B5:B200" showDropDown="0" showInputMessage="0" showErrorMessage="0" allowBlank="1" type="list">
      <formula1>=GroupPlusAllTeam</formula1>
    </dataValidation>
    <dataValidation sqref="C5:C200" showDropDown="0" showInputMessage="0" showErrorMessage="0" allowBlank="1" type="list">
      <formula1>=ExerciseNames</formula1>
    </dataValidation>
    <dataValidation sqref="D5:D200" showDropDown="0" showInputMessage="0" showErrorMessage="0" allowBlank="1" type="list">
      <formula1>=BlockTypesList</formula1>
    </dataValidation>
    <dataValidation sqref="G5:G200" showDropDown="0" showInputMessage="0" showErrorMessage="0" allowBlank="1" type="list">
      <formula1>=AllCoachNames</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38761D"/>
    <outlinePr summaryBelow="1" summaryRight="1"/>
    <pageSetUpPr fitToPage="1"/>
  </sheetPr>
  <dimension ref="A1:M53"/>
  <sheetViews>
    <sheetView showGridLines="0" workbookViewId="0">
      <pane ySplit="8" topLeftCell="A9"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hidden="1" width="13" customWidth="1" min="6" max="6"/>
    <col hidden="1" width="13" customWidth="1" min="7" max="7"/>
    <col hidden="1" width="13" customWidth="1" min="8" max="8"/>
    <col hidden="1" width="13" customWidth="1" min="10" max="10"/>
    <col hidden="1" width="13" customWidth="1" min="11" max="11"/>
    <col hidden="1" width="13" customWidth="1" min="12" max="12"/>
    <col hidden="1" width="13" customWidth="1" min="13" max="13"/>
  </cols>
  <sheetData>
    <row r="1" ht="30" customHeight="1">
      <c r="A1" s="21" t="inlineStr">
        <is>
          <t>Day View</t>
        </is>
      </c>
    </row>
    <row r="2">
      <c r="A2" s="2" t="inlineStr">
        <is>
          <t>Pick a date, scroll down. Built to read top-to-bottom on a phone — nothing to scroll sideways for.</t>
        </is>
      </c>
    </row>
    <row r="3" ht="18" customHeight="1">
      <c r="A3" s="22" t="inlineStr">
        <is>
          <t>Today:</t>
        </is>
      </c>
      <c r="B3" s="23" t="b">
        <v>0</v>
      </c>
      <c r="C3" s="33" t="inlineStr">
        <is>
          <t>tap TRUE</t>
        </is>
      </c>
    </row>
    <row r="4" ht="24" customHeight="1">
      <c r="A4" s="34" t="inlineStr">
        <is>
          <t>Date:</t>
        </is>
      </c>
      <c r="B4" s="35">
        <f>TODAY()</f>
        <v/>
      </c>
      <c r="C4" s="11" t="n"/>
      <c r="D4" s="10" t="n"/>
    </row>
    <row r="5" ht="26" customHeight="1">
      <c r="A5" s="36">
        <f>"Coaches: "&amp;IFERROR(INDEX('Full Team Calendar'!$C$5:$C$52,MATCH($B$4,'Full Team Calendar'!$A$5:$A$52,0)),"—")&amp;"   •   Featured tier: "&amp;IFERROR(INDEX('Full Team Calendar'!$D$5:$D$52,MATCH($B$4,'Full Team Calendar'!$A$5:$A$52,0)),"—")</f>
        <v/>
      </c>
    </row>
    <row r="6" ht="18" customHeight="1">
      <c r="A6" s="22" t="inlineStr">
        <is>
          <t>⚠ Clear plan:</t>
        </is>
      </c>
      <c r="B6" s="37" t="b">
        <v>0</v>
      </c>
      <c r="C6" s="38" t="inlineStr">
        <is>
          <t>wipes everything below, no undo</t>
        </is>
      </c>
    </row>
    <row r="7" ht="30" customHeight="1">
      <c r="A7" s="39">
        <f>IF(SUMPRODUCT(--(LogDayRank&lt;&gt;""))=0,"Nothing logged for this date yet — open Log a Workout to add it.",SUMPRODUCT(--(LogDayRank&lt;&gt;""))&amp;" block(s) planned:")</f>
        <v/>
      </c>
    </row>
    <row r="9" ht="22" customHeight="1">
      <c r="A9" s="40">
        <f>IF($F9="","",$G9&amp;" — "&amp;$H9)</f>
        <v/>
      </c>
      <c r="F9" s="29">
        <f>IFERROR(MATCH(1,LogDayRank,0),"")</f>
        <v/>
      </c>
      <c r="G9" s="29">
        <f>IFERROR(IF(INDEX('Log a Workout'!$B$5:$B$200,$F9)=0,"",INDEX('Log a Workout'!$B$5:$B$200,$F9)),"")</f>
        <v/>
      </c>
      <c r="H9" s="29">
        <f>IFERROR(IF(INDEX('Log a Workout'!$D$5:$D$200,$F9)=0,"",INDEX('Log a Workout'!$D$5:$D$200,$F9)),"")</f>
        <v/>
      </c>
      <c r="J9" s="29">
        <f>IFERROR(IF(INDEX('Log a Workout'!$E$5:$E$200,$F9)=0,"",INDEX('Log a Workout'!$E$5:$E$200,$F9)),"")</f>
        <v/>
      </c>
      <c r="K9" s="29">
        <f>IFERROR(IF(INDEX('Log a Workout'!$F$5:$F$200,$F9)=0,"",INDEX('Log a Workout'!$F$5:$F$200,$F9)),"")</f>
        <v/>
      </c>
      <c r="L9" s="29">
        <f>IFERROR(IF(INDEX('Log a Workout'!$G$5:$G$200,$F9)=0,"",INDEX('Log a Workout'!$G$5:$G$200,$F9)),"")</f>
        <v/>
      </c>
      <c r="M9" s="29">
        <f>IFERROR(IF(INDEX('Log a Workout'!$H$5:$H$200,$F9)=0,"",INDEX('Log a Workout'!$H$5:$H$200,$F9)),"")</f>
        <v/>
      </c>
    </row>
    <row r="10">
      <c r="A10" s="41">
        <f>$J9</f>
        <v/>
      </c>
    </row>
    <row r="11">
      <c r="A11" s="42">
        <f>TRIM($K9&amp;IF(AND($K9&lt;&gt;"",$L9&lt;&gt;"")," • ","")&amp;IF($L9&lt;&gt;"","Coach: "&amp;$L9,"")&amp;IF(AND(OR($K9&lt;&gt;"",$L9&lt;&gt;""),$M9&lt;&gt;"")," • ","")&amp;$M9)</f>
        <v/>
      </c>
    </row>
    <row r="12" ht="22" customHeight="1">
      <c r="A12" s="40">
        <f>IF($F12="","",$G12&amp;" — "&amp;$H12)</f>
        <v/>
      </c>
      <c r="F12" s="29">
        <f>IFERROR(MATCH(2,LogDayRank,0),"")</f>
        <v/>
      </c>
      <c r="G12" s="29">
        <f>IFERROR(IF(INDEX('Log a Workout'!$B$5:$B$200,$F12)=0,"",INDEX('Log a Workout'!$B$5:$B$200,$F12)),"")</f>
        <v/>
      </c>
      <c r="H12" s="29">
        <f>IFERROR(IF(INDEX('Log a Workout'!$D$5:$D$200,$F12)=0,"",INDEX('Log a Workout'!$D$5:$D$200,$F12)),"")</f>
        <v/>
      </c>
      <c r="J12" s="29">
        <f>IFERROR(IF(INDEX('Log a Workout'!$E$5:$E$200,$F12)=0,"",INDEX('Log a Workout'!$E$5:$E$200,$F12)),"")</f>
        <v/>
      </c>
      <c r="K12" s="29">
        <f>IFERROR(IF(INDEX('Log a Workout'!$F$5:$F$200,$F12)=0,"",INDEX('Log a Workout'!$F$5:$F$200,$F12)),"")</f>
        <v/>
      </c>
      <c r="L12" s="29">
        <f>IFERROR(IF(INDEX('Log a Workout'!$G$5:$G$200,$F12)=0,"",INDEX('Log a Workout'!$G$5:$G$200,$F12)),"")</f>
        <v/>
      </c>
      <c r="M12" s="29">
        <f>IFERROR(IF(INDEX('Log a Workout'!$H$5:$H$200,$F12)=0,"",INDEX('Log a Workout'!$H$5:$H$200,$F12)),"")</f>
        <v/>
      </c>
    </row>
    <row r="13">
      <c r="A13" s="41">
        <f>$J12</f>
        <v/>
      </c>
    </row>
    <row r="14">
      <c r="A14" s="42">
        <f>TRIM($K12&amp;IF(AND($K12&lt;&gt;"",$L12&lt;&gt;"")," • ","")&amp;IF($L12&lt;&gt;"","Coach: "&amp;$L12,"")&amp;IF(AND(OR($K12&lt;&gt;"",$L12&lt;&gt;""),$M12&lt;&gt;"")," • ","")&amp;$M12)</f>
        <v/>
      </c>
    </row>
    <row r="15" ht="22" customHeight="1">
      <c r="A15" s="40">
        <f>IF($F15="","",$G15&amp;" — "&amp;$H15)</f>
        <v/>
      </c>
      <c r="F15" s="29">
        <f>IFERROR(MATCH(3,LogDayRank,0),"")</f>
        <v/>
      </c>
      <c r="G15" s="29">
        <f>IFERROR(IF(INDEX('Log a Workout'!$B$5:$B$200,$F15)=0,"",INDEX('Log a Workout'!$B$5:$B$200,$F15)),"")</f>
        <v/>
      </c>
      <c r="H15" s="29">
        <f>IFERROR(IF(INDEX('Log a Workout'!$D$5:$D$200,$F15)=0,"",INDEX('Log a Workout'!$D$5:$D$200,$F15)),"")</f>
        <v/>
      </c>
      <c r="J15" s="29">
        <f>IFERROR(IF(INDEX('Log a Workout'!$E$5:$E$200,$F15)=0,"",INDEX('Log a Workout'!$E$5:$E$200,$F15)),"")</f>
        <v/>
      </c>
      <c r="K15" s="29">
        <f>IFERROR(IF(INDEX('Log a Workout'!$F$5:$F$200,$F15)=0,"",INDEX('Log a Workout'!$F$5:$F$200,$F15)),"")</f>
        <v/>
      </c>
      <c r="L15" s="29">
        <f>IFERROR(IF(INDEX('Log a Workout'!$G$5:$G$200,$F15)=0,"",INDEX('Log a Workout'!$G$5:$G$200,$F15)),"")</f>
        <v/>
      </c>
      <c r="M15" s="29">
        <f>IFERROR(IF(INDEX('Log a Workout'!$H$5:$H$200,$F15)=0,"",INDEX('Log a Workout'!$H$5:$H$200,$F15)),"")</f>
        <v/>
      </c>
    </row>
    <row r="16">
      <c r="A16" s="41">
        <f>$J15</f>
        <v/>
      </c>
    </row>
    <row r="17">
      <c r="A17" s="42">
        <f>TRIM($K15&amp;IF(AND($K15&lt;&gt;"",$L15&lt;&gt;"")," • ","")&amp;IF($L15&lt;&gt;"","Coach: "&amp;$L15,"")&amp;IF(AND(OR($K15&lt;&gt;"",$L15&lt;&gt;""),$M15&lt;&gt;"")," • ","")&amp;$M15)</f>
        <v/>
      </c>
    </row>
    <row r="18" ht="22" customHeight="1">
      <c r="A18" s="40">
        <f>IF($F18="","",$G18&amp;" — "&amp;$H18)</f>
        <v/>
      </c>
      <c r="F18" s="29">
        <f>IFERROR(MATCH(4,LogDayRank,0),"")</f>
        <v/>
      </c>
      <c r="G18" s="29">
        <f>IFERROR(IF(INDEX('Log a Workout'!$B$5:$B$200,$F18)=0,"",INDEX('Log a Workout'!$B$5:$B$200,$F18)),"")</f>
        <v/>
      </c>
      <c r="H18" s="29">
        <f>IFERROR(IF(INDEX('Log a Workout'!$D$5:$D$200,$F18)=0,"",INDEX('Log a Workout'!$D$5:$D$200,$F18)),"")</f>
        <v/>
      </c>
      <c r="J18" s="29">
        <f>IFERROR(IF(INDEX('Log a Workout'!$E$5:$E$200,$F18)=0,"",INDEX('Log a Workout'!$E$5:$E$200,$F18)),"")</f>
        <v/>
      </c>
      <c r="K18" s="29">
        <f>IFERROR(IF(INDEX('Log a Workout'!$F$5:$F$200,$F18)=0,"",INDEX('Log a Workout'!$F$5:$F$200,$F18)),"")</f>
        <v/>
      </c>
      <c r="L18" s="29">
        <f>IFERROR(IF(INDEX('Log a Workout'!$G$5:$G$200,$F18)=0,"",INDEX('Log a Workout'!$G$5:$G$200,$F18)),"")</f>
        <v/>
      </c>
      <c r="M18" s="29">
        <f>IFERROR(IF(INDEX('Log a Workout'!$H$5:$H$200,$F18)=0,"",INDEX('Log a Workout'!$H$5:$H$200,$F18)),"")</f>
        <v/>
      </c>
    </row>
    <row r="19">
      <c r="A19" s="41">
        <f>$J18</f>
        <v/>
      </c>
    </row>
    <row r="20">
      <c r="A20" s="42">
        <f>TRIM($K18&amp;IF(AND($K18&lt;&gt;"",$L18&lt;&gt;"")," • ","")&amp;IF($L18&lt;&gt;"","Coach: "&amp;$L18,"")&amp;IF(AND(OR($K18&lt;&gt;"",$L18&lt;&gt;""),$M18&lt;&gt;"")," • ","")&amp;$M18)</f>
        <v/>
      </c>
    </row>
    <row r="21" ht="22" customHeight="1">
      <c r="A21" s="40">
        <f>IF($F21="","",$G21&amp;" — "&amp;$H21)</f>
        <v/>
      </c>
      <c r="F21" s="29">
        <f>IFERROR(MATCH(5,LogDayRank,0),"")</f>
        <v/>
      </c>
      <c r="G21" s="29">
        <f>IFERROR(IF(INDEX('Log a Workout'!$B$5:$B$200,$F21)=0,"",INDEX('Log a Workout'!$B$5:$B$200,$F21)),"")</f>
        <v/>
      </c>
      <c r="H21" s="29">
        <f>IFERROR(IF(INDEX('Log a Workout'!$D$5:$D$200,$F21)=0,"",INDEX('Log a Workout'!$D$5:$D$200,$F21)),"")</f>
        <v/>
      </c>
      <c r="J21" s="29">
        <f>IFERROR(IF(INDEX('Log a Workout'!$E$5:$E$200,$F21)=0,"",INDEX('Log a Workout'!$E$5:$E$200,$F21)),"")</f>
        <v/>
      </c>
      <c r="K21" s="29">
        <f>IFERROR(IF(INDEX('Log a Workout'!$F$5:$F$200,$F21)=0,"",INDEX('Log a Workout'!$F$5:$F$200,$F21)),"")</f>
        <v/>
      </c>
      <c r="L21" s="29">
        <f>IFERROR(IF(INDEX('Log a Workout'!$G$5:$G$200,$F21)=0,"",INDEX('Log a Workout'!$G$5:$G$200,$F21)),"")</f>
        <v/>
      </c>
      <c r="M21" s="29">
        <f>IFERROR(IF(INDEX('Log a Workout'!$H$5:$H$200,$F21)=0,"",INDEX('Log a Workout'!$H$5:$H$200,$F21)),"")</f>
        <v/>
      </c>
    </row>
    <row r="22">
      <c r="A22" s="41">
        <f>$J21</f>
        <v/>
      </c>
    </row>
    <row r="23">
      <c r="A23" s="42">
        <f>TRIM($K21&amp;IF(AND($K21&lt;&gt;"",$L21&lt;&gt;"")," • ","")&amp;IF($L21&lt;&gt;"","Coach: "&amp;$L21,"")&amp;IF(AND(OR($K21&lt;&gt;"",$L21&lt;&gt;""),$M21&lt;&gt;"")," • ","")&amp;$M21)</f>
        <v/>
      </c>
    </row>
    <row r="24" ht="22" customHeight="1">
      <c r="A24" s="40">
        <f>IF($F24="","",$G24&amp;" — "&amp;$H24)</f>
        <v/>
      </c>
      <c r="F24" s="29">
        <f>IFERROR(MATCH(6,LogDayRank,0),"")</f>
        <v/>
      </c>
      <c r="G24" s="29">
        <f>IFERROR(IF(INDEX('Log a Workout'!$B$5:$B$200,$F24)=0,"",INDEX('Log a Workout'!$B$5:$B$200,$F24)),"")</f>
        <v/>
      </c>
      <c r="H24" s="29">
        <f>IFERROR(IF(INDEX('Log a Workout'!$D$5:$D$200,$F24)=0,"",INDEX('Log a Workout'!$D$5:$D$200,$F24)),"")</f>
        <v/>
      </c>
      <c r="J24" s="29">
        <f>IFERROR(IF(INDEX('Log a Workout'!$E$5:$E$200,$F24)=0,"",INDEX('Log a Workout'!$E$5:$E$200,$F24)),"")</f>
        <v/>
      </c>
      <c r="K24" s="29">
        <f>IFERROR(IF(INDEX('Log a Workout'!$F$5:$F$200,$F24)=0,"",INDEX('Log a Workout'!$F$5:$F$200,$F24)),"")</f>
        <v/>
      </c>
      <c r="L24" s="29">
        <f>IFERROR(IF(INDEX('Log a Workout'!$G$5:$G$200,$F24)=0,"",INDEX('Log a Workout'!$G$5:$G$200,$F24)),"")</f>
        <v/>
      </c>
      <c r="M24" s="29">
        <f>IFERROR(IF(INDEX('Log a Workout'!$H$5:$H$200,$F24)=0,"",INDEX('Log a Workout'!$H$5:$H$200,$F24)),"")</f>
        <v/>
      </c>
    </row>
    <row r="25">
      <c r="A25" s="41">
        <f>$J24</f>
        <v/>
      </c>
    </row>
    <row r="26">
      <c r="A26" s="42">
        <f>TRIM($K24&amp;IF(AND($K24&lt;&gt;"",$L24&lt;&gt;"")," • ","")&amp;IF($L24&lt;&gt;"","Coach: "&amp;$L24,"")&amp;IF(AND(OR($K24&lt;&gt;"",$L24&lt;&gt;""),$M24&lt;&gt;"")," • ","")&amp;$M24)</f>
        <v/>
      </c>
    </row>
    <row r="27" ht="22" customHeight="1">
      <c r="A27" s="40">
        <f>IF($F27="","",$G27&amp;" — "&amp;$H27)</f>
        <v/>
      </c>
      <c r="F27" s="29">
        <f>IFERROR(MATCH(7,LogDayRank,0),"")</f>
        <v/>
      </c>
      <c r="G27" s="29">
        <f>IFERROR(IF(INDEX('Log a Workout'!$B$5:$B$200,$F27)=0,"",INDEX('Log a Workout'!$B$5:$B$200,$F27)),"")</f>
        <v/>
      </c>
      <c r="H27" s="29">
        <f>IFERROR(IF(INDEX('Log a Workout'!$D$5:$D$200,$F27)=0,"",INDEX('Log a Workout'!$D$5:$D$200,$F27)),"")</f>
        <v/>
      </c>
      <c r="J27" s="29">
        <f>IFERROR(IF(INDEX('Log a Workout'!$E$5:$E$200,$F27)=0,"",INDEX('Log a Workout'!$E$5:$E$200,$F27)),"")</f>
        <v/>
      </c>
      <c r="K27" s="29">
        <f>IFERROR(IF(INDEX('Log a Workout'!$F$5:$F$200,$F27)=0,"",INDEX('Log a Workout'!$F$5:$F$200,$F27)),"")</f>
        <v/>
      </c>
      <c r="L27" s="29">
        <f>IFERROR(IF(INDEX('Log a Workout'!$G$5:$G$200,$F27)=0,"",INDEX('Log a Workout'!$G$5:$G$200,$F27)),"")</f>
        <v/>
      </c>
      <c r="M27" s="29">
        <f>IFERROR(IF(INDEX('Log a Workout'!$H$5:$H$200,$F27)=0,"",INDEX('Log a Workout'!$H$5:$H$200,$F27)),"")</f>
        <v/>
      </c>
    </row>
    <row r="28">
      <c r="A28" s="41">
        <f>$J27</f>
        <v/>
      </c>
    </row>
    <row r="29">
      <c r="A29" s="42">
        <f>TRIM($K27&amp;IF(AND($K27&lt;&gt;"",$L27&lt;&gt;"")," • ","")&amp;IF($L27&lt;&gt;"","Coach: "&amp;$L27,"")&amp;IF(AND(OR($K27&lt;&gt;"",$L27&lt;&gt;""),$M27&lt;&gt;"")," • ","")&amp;$M27)</f>
        <v/>
      </c>
    </row>
    <row r="30" ht="22" customHeight="1">
      <c r="A30" s="40">
        <f>IF($F30="","",$G30&amp;" — "&amp;$H30)</f>
        <v/>
      </c>
      <c r="F30" s="29">
        <f>IFERROR(MATCH(8,LogDayRank,0),"")</f>
        <v/>
      </c>
      <c r="G30" s="29">
        <f>IFERROR(IF(INDEX('Log a Workout'!$B$5:$B$200,$F30)=0,"",INDEX('Log a Workout'!$B$5:$B$200,$F30)),"")</f>
        <v/>
      </c>
      <c r="H30" s="29">
        <f>IFERROR(IF(INDEX('Log a Workout'!$D$5:$D$200,$F30)=0,"",INDEX('Log a Workout'!$D$5:$D$200,$F30)),"")</f>
        <v/>
      </c>
      <c r="J30" s="29">
        <f>IFERROR(IF(INDEX('Log a Workout'!$E$5:$E$200,$F30)=0,"",INDEX('Log a Workout'!$E$5:$E$200,$F30)),"")</f>
        <v/>
      </c>
      <c r="K30" s="29">
        <f>IFERROR(IF(INDEX('Log a Workout'!$F$5:$F$200,$F30)=0,"",INDEX('Log a Workout'!$F$5:$F$200,$F30)),"")</f>
        <v/>
      </c>
      <c r="L30" s="29">
        <f>IFERROR(IF(INDEX('Log a Workout'!$G$5:$G$200,$F30)=0,"",INDEX('Log a Workout'!$G$5:$G$200,$F30)),"")</f>
        <v/>
      </c>
      <c r="M30" s="29">
        <f>IFERROR(IF(INDEX('Log a Workout'!$H$5:$H$200,$F30)=0,"",INDEX('Log a Workout'!$H$5:$H$200,$F30)),"")</f>
        <v/>
      </c>
    </row>
    <row r="31">
      <c r="A31" s="41">
        <f>$J30</f>
        <v/>
      </c>
    </row>
    <row r="32">
      <c r="A32" s="42">
        <f>TRIM($K30&amp;IF(AND($K30&lt;&gt;"",$L30&lt;&gt;"")," • ","")&amp;IF($L30&lt;&gt;"","Coach: "&amp;$L30,"")&amp;IF(AND(OR($K30&lt;&gt;"",$L30&lt;&gt;""),$M30&lt;&gt;"")," • ","")&amp;$M30)</f>
        <v/>
      </c>
    </row>
    <row r="33" ht="22" customHeight="1">
      <c r="A33" s="40">
        <f>IF($F33="","",$G33&amp;" — "&amp;$H33)</f>
        <v/>
      </c>
      <c r="F33" s="29">
        <f>IFERROR(MATCH(9,LogDayRank,0),"")</f>
        <v/>
      </c>
      <c r="G33" s="29">
        <f>IFERROR(IF(INDEX('Log a Workout'!$B$5:$B$200,$F33)=0,"",INDEX('Log a Workout'!$B$5:$B$200,$F33)),"")</f>
        <v/>
      </c>
      <c r="H33" s="29">
        <f>IFERROR(IF(INDEX('Log a Workout'!$D$5:$D$200,$F33)=0,"",INDEX('Log a Workout'!$D$5:$D$200,$F33)),"")</f>
        <v/>
      </c>
      <c r="J33" s="29">
        <f>IFERROR(IF(INDEX('Log a Workout'!$E$5:$E$200,$F33)=0,"",INDEX('Log a Workout'!$E$5:$E$200,$F33)),"")</f>
        <v/>
      </c>
      <c r="K33" s="29">
        <f>IFERROR(IF(INDEX('Log a Workout'!$F$5:$F$200,$F33)=0,"",INDEX('Log a Workout'!$F$5:$F$200,$F33)),"")</f>
        <v/>
      </c>
      <c r="L33" s="29">
        <f>IFERROR(IF(INDEX('Log a Workout'!$G$5:$G$200,$F33)=0,"",INDEX('Log a Workout'!$G$5:$G$200,$F33)),"")</f>
        <v/>
      </c>
      <c r="M33" s="29">
        <f>IFERROR(IF(INDEX('Log a Workout'!$H$5:$H$200,$F33)=0,"",INDEX('Log a Workout'!$H$5:$H$200,$F33)),"")</f>
        <v/>
      </c>
    </row>
    <row r="34">
      <c r="A34" s="41">
        <f>$J33</f>
        <v/>
      </c>
    </row>
    <row r="35">
      <c r="A35" s="42">
        <f>TRIM($K33&amp;IF(AND($K33&lt;&gt;"",$L33&lt;&gt;"")," • ","")&amp;IF($L33&lt;&gt;"","Coach: "&amp;$L33,"")&amp;IF(AND(OR($K33&lt;&gt;"",$L33&lt;&gt;""),$M33&lt;&gt;"")," • ","")&amp;$M33)</f>
        <v/>
      </c>
    </row>
    <row r="36" ht="22" customHeight="1">
      <c r="A36" s="40">
        <f>IF($F36="","",$G36&amp;" — "&amp;$H36)</f>
        <v/>
      </c>
      <c r="F36" s="29">
        <f>IFERROR(MATCH(10,LogDayRank,0),"")</f>
        <v/>
      </c>
      <c r="G36" s="29">
        <f>IFERROR(IF(INDEX('Log a Workout'!$B$5:$B$200,$F36)=0,"",INDEX('Log a Workout'!$B$5:$B$200,$F36)),"")</f>
        <v/>
      </c>
      <c r="H36" s="29">
        <f>IFERROR(IF(INDEX('Log a Workout'!$D$5:$D$200,$F36)=0,"",INDEX('Log a Workout'!$D$5:$D$200,$F36)),"")</f>
        <v/>
      </c>
      <c r="J36" s="29">
        <f>IFERROR(IF(INDEX('Log a Workout'!$E$5:$E$200,$F36)=0,"",INDEX('Log a Workout'!$E$5:$E$200,$F36)),"")</f>
        <v/>
      </c>
      <c r="K36" s="29">
        <f>IFERROR(IF(INDEX('Log a Workout'!$F$5:$F$200,$F36)=0,"",INDEX('Log a Workout'!$F$5:$F$200,$F36)),"")</f>
        <v/>
      </c>
      <c r="L36" s="29">
        <f>IFERROR(IF(INDEX('Log a Workout'!$G$5:$G$200,$F36)=0,"",INDEX('Log a Workout'!$G$5:$G$200,$F36)),"")</f>
        <v/>
      </c>
      <c r="M36" s="29">
        <f>IFERROR(IF(INDEX('Log a Workout'!$H$5:$H$200,$F36)=0,"",INDEX('Log a Workout'!$H$5:$H$200,$F36)),"")</f>
        <v/>
      </c>
    </row>
    <row r="37">
      <c r="A37" s="41">
        <f>$J36</f>
        <v/>
      </c>
    </row>
    <row r="38">
      <c r="A38" s="42">
        <f>TRIM($K36&amp;IF(AND($K36&lt;&gt;"",$L36&lt;&gt;"")," • ","")&amp;IF($L36&lt;&gt;"","Coach: "&amp;$L36,"")&amp;IF(AND(OR($K36&lt;&gt;"",$L36&lt;&gt;""),$M36&lt;&gt;"")," • ","")&amp;$M36)</f>
        <v/>
      </c>
    </row>
    <row r="39" ht="22" customHeight="1">
      <c r="A39" s="40">
        <f>IF($F39="","",$G39&amp;" — "&amp;$H39)</f>
        <v/>
      </c>
      <c r="F39" s="29">
        <f>IFERROR(MATCH(11,LogDayRank,0),"")</f>
        <v/>
      </c>
      <c r="G39" s="29">
        <f>IFERROR(IF(INDEX('Log a Workout'!$B$5:$B$200,$F39)=0,"",INDEX('Log a Workout'!$B$5:$B$200,$F39)),"")</f>
        <v/>
      </c>
      <c r="H39" s="29">
        <f>IFERROR(IF(INDEX('Log a Workout'!$D$5:$D$200,$F39)=0,"",INDEX('Log a Workout'!$D$5:$D$200,$F39)),"")</f>
        <v/>
      </c>
      <c r="J39" s="29">
        <f>IFERROR(IF(INDEX('Log a Workout'!$E$5:$E$200,$F39)=0,"",INDEX('Log a Workout'!$E$5:$E$200,$F39)),"")</f>
        <v/>
      </c>
      <c r="K39" s="29">
        <f>IFERROR(IF(INDEX('Log a Workout'!$F$5:$F$200,$F39)=0,"",INDEX('Log a Workout'!$F$5:$F$200,$F39)),"")</f>
        <v/>
      </c>
      <c r="L39" s="29">
        <f>IFERROR(IF(INDEX('Log a Workout'!$G$5:$G$200,$F39)=0,"",INDEX('Log a Workout'!$G$5:$G$200,$F39)),"")</f>
        <v/>
      </c>
      <c r="M39" s="29">
        <f>IFERROR(IF(INDEX('Log a Workout'!$H$5:$H$200,$F39)=0,"",INDEX('Log a Workout'!$H$5:$H$200,$F39)),"")</f>
        <v/>
      </c>
    </row>
    <row r="40">
      <c r="A40" s="41">
        <f>$J39</f>
        <v/>
      </c>
    </row>
    <row r="41">
      <c r="A41" s="42">
        <f>TRIM($K39&amp;IF(AND($K39&lt;&gt;"",$L39&lt;&gt;"")," • ","")&amp;IF($L39&lt;&gt;"","Coach: "&amp;$L39,"")&amp;IF(AND(OR($K39&lt;&gt;"",$L39&lt;&gt;""),$M39&lt;&gt;"")," • ","")&amp;$M39)</f>
        <v/>
      </c>
    </row>
    <row r="42" ht="22" customHeight="1">
      <c r="A42" s="40">
        <f>IF($F42="","",$G42&amp;" — "&amp;$H42)</f>
        <v/>
      </c>
      <c r="F42" s="29">
        <f>IFERROR(MATCH(12,LogDayRank,0),"")</f>
        <v/>
      </c>
      <c r="G42" s="29">
        <f>IFERROR(IF(INDEX('Log a Workout'!$B$5:$B$200,$F42)=0,"",INDEX('Log a Workout'!$B$5:$B$200,$F42)),"")</f>
        <v/>
      </c>
      <c r="H42" s="29">
        <f>IFERROR(IF(INDEX('Log a Workout'!$D$5:$D$200,$F42)=0,"",INDEX('Log a Workout'!$D$5:$D$200,$F42)),"")</f>
        <v/>
      </c>
      <c r="J42" s="29">
        <f>IFERROR(IF(INDEX('Log a Workout'!$E$5:$E$200,$F42)=0,"",INDEX('Log a Workout'!$E$5:$E$200,$F42)),"")</f>
        <v/>
      </c>
      <c r="K42" s="29">
        <f>IFERROR(IF(INDEX('Log a Workout'!$F$5:$F$200,$F42)=0,"",INDEX('Log a Workout'!$F$5:$F$200,$F42)),"")</f>
        <v/>
      </c>
      <c r="L42" s="29">
        <f>IFERROR(IF(INDEX('Log a Workout'!$G$5:$G$200,$F42)=0,"",INDEX('Log a Workout'!$G$5:$G$200,$F42)),"")</f>
        <v/>
      </c>
      <c r="M42" s="29">
        <f>IFERROR(IF(INDEX('Log a Workout'!$H$5:$H$200,$F42)=0,"",INDEX('Log a Workout'!$H$5:$H$200,$F42)),"")</f>
        <v/>
      </c>
    </row>
    <row r="43">
      <c r="A43" s="41">
        <f>$J42</f>
        <v/>
      </c>
    </row>
    <row r="44">
      <c r="A44" s="42">
        <f>TRIM($K42&amp;IF(AND($K42&lt;&gt;"",$L42&lt;&gt;"")," • ","")&amp;IF($L42&lt;&gt;"","Coach: "&amp;$L42,"")&amp;IF(AND(OR($K42&lt;&gt;"",$L42&lt;&gt;""),$M42&lt;&gt;"")," • ","")&amp;$M42)</f>
        <v/>
      </c>
    </row>
    <row r="45" ht="22" customHeight="1">
      <c r="A45" s="40">
        <f>IF($F45="","",$G45&amp;" — "&amp;$H45)</f>
        <v/>
      </c>
      <c r="F45" s="29">
        <f>IFERROR(MATCH(13,LogDayRank,0),"")</f>
        <v/>
      </c>
      <c r="G45" s="29">
        <f>IFERROR(IF(INDEX('Log a Workout'!$B$5:$B$200,$F45)=0,"",INDEX('Log a Workout'!$B$5:$B$200,$F45)),"")</f>
        <v/>
      </c>
      <c r="H45" s="29">
        <f>IFERROR(IF(INDEX('Log a Workout'!$D$5:$D$200,$F45)=0,"",INDEX('Log a Workout'!$D$5:$D$200,$F45)),"")</f>
        <v/>
      </c>
      <c r="J45" s="29">
        <f>IFERROR(IF(INDEX('Log a Workout'!$E$5:$E$200,$F45)=0,"",INDEX('Log a Workout'!$E$5:$E$200,$F45)),"")</f>
        <v/>
      </c>
      <c r="K45" s="29">
        <f>IFERROR(IF(INDEX('Log a Workout'!$F$5:$F$200,$F45)=0,"",INDEX('Log a Workout'!$F$5:$F$200,$F45)),"")</f>
        <v/>
      </c>
      <c r="L45" s="29">
        <f>IFERROR(IF(INDEX('Log a Workout'!$G$5:$G$200,$F45)=0,"",INDEX('Log a Workout'!$G$5:$G$200,$F45)),"")</f>
        <v/>
      </c>
      <c r="M45" s="29">
        <f>IFERROR(IF(INDEX('Log a Workout'!$H$5:$H$200,$F45)=0,"",INDEX('Log a Workout'!$H$5:$H$200,$F45)),"")</f>
        <v/>
      </c>
    </row>
    <row r="46">
      <c r="A46" s="41">
        <f>$J45</f>
        <v/>
      </c>
    </row>
    <row r="47">
      <c r="A47" s="42">
        <f>TRIM($K45&amp;IF(AND($K45&lt;&gt;"",$L45&lt;&gt;"")," • ","")&amp;IF($L45&lt;&gt;"","Coach: "&amp;$L45,"")&amp;IF(AND(OR($K45&lt;&gt;"",$L45&lt;&gt;""),$M45&lt;&gt;"")," • ","")&amp;$M45)</f>
        <v/>
      </c>
    </row>
    <row r="48" ht="22" customHeight="1">
      <c r="A48" s="40">
        <f>IF($F48="","",$G48&amp;" — "&amp;$H48)</f>
        <v/>
      </c>
      <c r="F48" s="29">
        <f>IFERROR(MATCH(14,LogDayRank,0),"")</f>
        <v/>
      </c>
      <c r="G48" s="29">
        <f>IFERROR(IF(INDEX('Log a Workout'!$B$5:$B$200,$F48)=0,"",INDEX('Log a Workout'!$B$5:$B$200,$F48)),"")</f>
        <v/>
      </c>
      <c r="H48" s="29">
        <f>IFERROR(IF(INDEX('Log a Workout'!$D$5:$D$200,$F48)=0,"",INDEX('Log a Workout'!$D$5:$D$200,$F48)),"")</f>
        <v/>
      </c>
      <c r="J48" s="29">
        <f>IFERROR(IF(INDEX('Log a Workout'!$E$5:$E$200,$F48)=0,"",INDEX('Log a Workout'!$E$5:$E$200,$F48)),"")</f>
        <v/>
      </c>
      <c r="K48" s="29">
        <f>IFERROR(IF(INDEX('Log a Workout'!$F$5:$F$200,$F48)=0,"",INDEX('Log a Workout'!$F$5:$F$200,$F48)),"")</f>
        <v/>
      </c>
      <c r="L48" s="29">
        <f>IFERROR(IF(INDEX('Log a Workout'!$G$5:$G$200,$F48)=0,"",INDEX('Log a Workout'!$G$5:$G$200,$F48)),"")</f>
        <v/>
      </c>
      <c r="M48" s="29">
        <f>IFERROR(IF(INDEX('Log a Workout'!$H$5:$H$200,$F48)=0,"",INDEX('Log a Workout'!$H$5:$H$200,$F48)),"")</f>
        <v/>
      </c>
    </row>
    <row r="49">
      <c r="A49" s="41">
        <f>$J48</f>
        <v/>
      </c>
    </row>
    <row r="50">
      <c r="A50" s="42">
        <f>TRIM($K48&amp;IF(AND($K48&lt;&gt;"",$L48&lt;&gt;"")," • ","")&amp;IF($L48&lt;&gt;"","Coach: "&amp;$L48,"")&amp;IF(AND(OR($K48&lt;&gt;"",$L48&lt;&gt;""),$M48&lt;&gt;"")," • ","")&amp;$M48)</f>
        <v/>
      </c>
    </row>
    <row r="51" ht="22" customHeight="1">
      <c r="A51" s="40">
        <f>IF($F51="","",$G51&amp;" — "&amp;$H51)</f>
        <v/>
      </c>
      <c r="F51" s="29">
        <f>IFERROR(MATCH(15,LogDayRank,0),"")</f>
        <v/>
      </c>
      <c r="G51" s="29">
        <f>IFERROR(IF(INDEX('Log a Workout'!$B$5:$B$200,$F51)=0,"",INDEX('Log a Workout'!$B$5:$B$200,$F51)),"")</f>
        <v/>
      </c>
      <c r="H51" s="29">
        <f>IFERROR(IF(INDEX('Log a Workout'!$D$5:$D$200,$F51)=0,"",INDEX('Log a Workout'!$D$5:$D$200,$F51)),"")</f>
        <v/>
      </c>
      <c r="J51" s="29">
        <f>IFERROR(IF(INDEX('Log a Workout'!$E$5:$E$200,$F51)=0,"",INDEX('Log a Workout'!$E$5:$E$200,$F51)),"")</f>
        <v/>
      </c>
      <c r="K51" s="29">
        <f>IFERROR(IF(INDEX('Log a Workout'!$F$5:$F$200,$F51)=0,"",INDEX('Log a Workout'!$F$5:$F$200,$F51)),"")</f>
        <v/>
      </c>
      <c r="L51" s="29">
        <f>IFERROR(IF(INDEX('Log a Workout'!$G$5:$G$200,$F51)=0,"",INDEX('Log a Workout'!$G$5:$G$200,$F51)),"")</f>
        <v/>
      </c>
      <c r="M51" s="29">
        <f>IFERROR(IF(INDEX('Log a Workout'!$H$5:$H$200,$F51)=0,"",INDEX('Log a Workout'!$H$5:$H$200,$F51)),"")</f>
        <v/>
      </c>
    </row>
    <row r="52">
      <c r="A52" s="41">
        <f>$J51</f>
        <v/>
      </c>
    </row>
    <row r="53">
      <c r="A53" s="42">
        <f>TRIM($K51&amp;IF(AND($K51&lt;&gt;"",$L51&lt;&gt;"")," • ","")&amp;IF($L51&lt;&gt;"","Coach: "&amp;$L51,"")&amp;IF(AND(OR($K51&lt;&gt;"",$L51&lt;&gt;""),$M51&lt;&gt;"")," • ","")&amp;$M51)</f>
        <v/>
      </c>
    </row>
  </sheetData>
  <mergeCells count="52">
    <mergeCell ref="A5:D5"/>
    <mergeCell ref="A17:D17"/>
    <mergeCell ref="A23:D23"/>
    <mergeCell ref="C6:D6"/>
    <mergeCell ref="A22:D22"/>
    <mergeCell ref="A53:D53"/>
    <mergeCell ref="A35:D35"/>
    <mergeCell ref="A20:D20"/>
    <mergeCell ref="A38:D38"/>
    <mergeCell ref="A29:D29"/>
    <mergeCell ref="A52:D52"/>
    <mergeCell ref="A43:D43"/>
    <mergeCell ref="A19:D19"/>
    <mergeCell ref="A10:D10"/>
    <mergeCell ref="A28:D28"/>
    <mergeCell ref="A13:D13"/>
    <mergeCell ref="A44:D44"/>
    <mergeCell ref="A40:D40"/>
    <mergeCell ref="A9:D9"/>
    <mergeCell ref="A31:D31"/>
    <mergeCell ref="A42:D42"/>
    <mergeCell ref="A34:D34"/>
    <mergeCell ref="A48:D48"/>
    <mergeCell ref="A30:D30"/>
    <mergeCell ref="A39:D39"/>
    <mergeCell ref="A15:D15"/>
    <mergeCell ref="A24:D24"/>
    <mergeCell ref="A11:D11"/>
    <mergeCell ref="A49:D49"/>
    <mergeCell ref="A51:D51"/>
    <mergeCell ref="A36:D36"/>
    <mergeCell ref="A1:D1"/>
    <mergeCell ref="A45:D45"/>
    <mergeCell ref="B4:D4"/>
    <mergeCell ref="A7:D7"/>
    <mergeCell ref="A25:D25"/>
    <mergeCell ref="A41:D41"/>
    <mergeCell ref="A16:D16"/>
    <mergeCell ref="A46:D46"/>
    <mergeCell ref="A37:D37"/>
    <mergeCell ref="A18:D18"/>
    <mergeCell ref="A27:D27"/>
    <mergeCell ref="A12:D12"/>
    <mergeCell ref="A50:D50"/>
    <mergeCell ref="A26:D26"/>
    <mergeCell ref="A21:D21"/>
    <mergeCell ref="A2:D2"/>
    <mergeCell ref="A33:D33"/>
    <mergeCell ref="A47:D47"/>
    <mergeCell ref="C3:D3"/>
    <mergeCell ref="A32:D32"/>
    <mergeCell ref="A14:D14"/>
  </mergeCells>
  <conditionalFormatting sqref="A9:D53">
    <cfRule type="expression" priority="1" dxfId="0">
      <formula>$G9="All Team"</formula>
    </cfRule>
    <cfRule type="expression" priority="2" dxfId="1">
      <formula>$G9=Settings!$B$5</formula>
    </cfRule>
    <cfRule type="expression" priority="3" dxfId="2">
      <formula>$G9=Settings!$B$6</formula>
    </cfRule>
    <cfRule type="expression" priority="4" dxfId="3">
      <formula>$G9=Settings!$B$7</formula>
    </cfRule>
  </conditionalFormatting>
  <dataValidations count="2">
    <dataValidation sqref="B3" showDropDown="0" showInputMessage="0" showErrorMessage="0" allowBlank="0" type="list">
      <formula1>"TRUE,FALSE"</formula1>
    </dataValidation>
    <dataValidation sqref="B6" showDropDown="0" showInputMessage="0" showErrorMessage="0" allowBlank="0" type="list">
      <formula1>"TRUE,FALSE"</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38761D"/>
    <outlinePr summaryBelow="1" summaryRight="1"/>
    <pageSetUpPr fitToPage="1"/>
  </sheetPr>
  <dimension ref="A1:O37"/>
  <sheetViews>
    <sheetView showGridLines="0" workbookViewId="0">
      <pane xSplit="6" ySplit="5" topLeftCell="G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20" customWidth="1" min="4" max="4"/>
    <col width="6" customWidth="1" min="5" max="5"/>
    <col width="15" customWidth="1" min="6" max="6"/>
    <col width="12" customWidth="1" min="7" max="7"/>
    <col width="12" customWidth="1" min="8" max="8"/>
    <col width="22" customWidth="1" min="9" max="9"/>
    <col width="22" customWidth="1" min="10" max="10"/>
    <col width="22" customWidth="1" min="11" max="11"/>
    <col width="13" customWidth="1" min="12" max="12"/>
    <col width="10" customWidth="1" min="13" max="13"/>
    <col width="26" customWidth="1" min="14" max="14"/>
    <col width="10" customWidth="1" min="15" max="15"/>
  </cols>
  <sheetData>
    <row r="1" ht="30" customHeight="1">
      <c r="A1" s="21" t="inlineStr">
        <is>
          <t>Athlete Profiles</t>
        </is>
      </c>
    </row>
    <row r="2">
      <c r="A2" s="2" t="inlineStr">
        <is>
          <t>The whole roster, one row per athlete. Type straight into a blank row below to add someone — works on a phone, no menu needed. Tap the checkbox in row 4 to jump to the next open row. Color = tier (set in Settings). Use Data &gt; Create a filter to see one tier at a time.</t>
        </is>
      </c>
    </row>
    <row r="3">
      <c r="A3" s="43" t="inlineStr">
        <is>
          <t>Counts (auto):</t>
        </is>
      </c>
      <c r="B3" s="44">
        <f>Settings!$B$5&amp;": "&amp;COUNTIF($F$6:$F$200,Settings!$B$5)</f>
        <v/>
      </c>
      <c r="D3" s="44">
        <f>Settings!$B$6&amp;": "&amp;COUNTIF($F$6:$F$200,Settings!$B$6)</f>
        <v/>
      </c>
      <c r="F3" s="44">
        <f>Settings!$B$7&amp;": "&amp;COUNTIF($F$6:$F$200,Settings!$B$7)</f>
        <v/>
      </c>
      <c r="H3" s="44">
        <f>"Total: "&amp;COUNTA($B$6:$B$200)</f>
        <v/>
      </c>
    </row>
    <row r="4">
      <c r="A4" s="22" t="inlineStr">
        <is>
          <t>New:</t>
        </is>
      </c>
      <c r="B4" s="23" t="b">
        <v>0</v>
      </c>
      <c r="C4" s="24" t="inlineStr">
        <is>
          <t>tap TRUE to jump to the next open row</t>
        </is>
      </c>
    </row>
    <row r="5" ht="30" customHeight="1">
      <c r="A5" s="9" t="inlineStr">
        <is>
          <t>ID</t>
        </is>
      </c>
      <c r="B5" s="9" t="inlineStr">
        <is>
          <t>First Name</t>
        </is>
      </c>
      <c r="C5" s="9" t="inlineStr">
        <is>
          <t>Last Name</t>
        </is>
      </c>
      <c r="D5" s="9" t="inlineStr">
        <is>
          <t>Full Name</t>
        </is>
      </c>
      <c r="E5" s="9" t="inlineStr">
        <is>
          <t>Age</t>
        </is>
      </c>
      <c r="F5" s="9" t="inlineStr">
        <is>
          <t>Group</t>
        </is>
      </c>
      <c r="G5" s="9" t="inlineStr">
        <is>
          <t>Current
Flash Grade</t>
        </is>
      </c>
      <c r="H5" s="9" t="inlineStr">
        <is>
          <t>Goal
Grade</t>
        </is>
      </c>
      <c r="I5" s="9" t="inlineStr">
        <is>
          <t>Strengths</t>
        </is>
      </c>
      <c r="J5" s="9" t="inlineStr">
        <is>
          <t>Growth Areas</t>
        </is>
      </c>
      <c r="K5" s="9" t="inlineStr">
        <is>
          <t>Current Focus / Goal</t>
        </is>
      </c>
      <c r="L5" s="9" t="inlineStr">
        <is>
          <t>Join Date</t>
        </is>
      </c>
      <c r="M5" s="9" t="inlineStr">
        <is>
          <t>Status</t>
        </is>
      </c>
      <c r="N5" s="9" t="inlineStr">
        <is>
          <t>Notes</t>
        </is>
      </c>
      <c r="O5" s="9" t="inlineStr">
        <is>
          <t>⚠ Delete?</t>
        </is>
      </c>
    </row>
    <row r="6">
      <c r="A6" s="45">
        <f>IF(B6="","",ROW()-5)</f>
        <v/>
      </c>
      <c r="B6" s="45" t="inlineStr">
        <is>
          <t>Alex</t>
        </is>
      </c>
      <c r="C6" s="45" t="inlineStr">
        <is>
          <t>Rivera</t>
        </is>
      </c>
      <c r="D6" s="45">
        <f>IF(B6="","",TRIM(B6&amp;" "&amp;C6))</f>
        <v/>
      </c>
      <c r="E6" s="45" t="n">
        <v>13</v>
      </c>
      <c r="F6" s="45" t="inlineStr">
        <is>
          <t>Advanced</t>
        </is>
      </c>
      <c r="G6" s="45" t="inlineStr">
        <is>
          <t>V6</t>
        </is>
      </c>
      <c r="H6" s="45" t="inlineStr">
        <is>
          <t>V8</t>
        </is>
      </c>
      <c r="I6" s="46" t="inlineStr">
        <is>
          <t>Big power moves, competition composure</t>
        </is>
      </c>
      <c r="J6" s="46" t="inlineStr">
        <is>
          <t>Foot precision on slab</t>
        </is>
      </c>
      <c r="K6" s="46" t="inlineStr">
        <is>
          <t>Qualify for divisionals</t>
        </is>
      </c>
      <c r="L6" s="47" t="n">
        <v>45170</v>
      </c>
      <c r="M6" s="45" t="inlineStr">
        <is>
          <t>Active</t>
        </is>
      </c>
      <c r="N6" s="46" t="inlineStr">
        <is>
          <t>EXAMPLE ROW — overwrite or delete</t>
        </is>
      </c>
      <c r="O6" s="48" t="b">
        <v>0</v>
      </c>
    </row>
    <row r="7">
      <c r="A7" s="45">
        <f>IF(B7="","",ROW()-5)</f>
        <v/>
      </c>
      <c r="B7" s="45" t="inlineStr">
        <is>
          <t>Sam</t>
        </is>
      </c>
      <c r="C7" s="45" t="inlineStr">
        <is>
          <t>Nguyen</t>
        </is>
      </c>
      <c r="D7" s="45">
        <f>IF(B7="","",TRIM(B7&amp;" "&amp;C7))</f>
        <v/>
      </c>
      <c r="E7" s="45" t="n">
        <v>10</v>
      </c>
      <c r="F7" s="45" t="inlineStr">
        <is>
          <t>Developing</t>
        </is>
      </c>
      <c r="G7" s="45" t="inlineStr">
        <is>
          <t>V1</t>
        </is>
      </c>
      <c r="H7" s="45" t="inlineStr">
        <is>
          <t>V3</t>
        </is>
      </c>
      <c r="I7" s="46" t="inlineStr">
        <is>
          <t>Enthusiasm, coordination drills</t>
        </is>
      </c>
      <c r="J7" s="46" t="inlineStr">
        <is>
          <t>Confidence on lead/overhang</t>
        </is>
      </c>
      <c r="K7" s="46" t="inlineStr">
        <is>
          <t>Stick 3 moves in a row without a pause</t>
        </is>
      </c>
      <c r="L7" s="47" t="n">
        <v>45672</v>
      </c>
      <c r="M7" s="45" t="inlineStr">
        <is>
          <t>Active</t>
        </is>
      </c>
      <c r="N7" s="46" t="inlineStr">
        <is>
          <t>EXAMPLE ROW — overwrite or delete</t>
        </is>
      </c>
      <c r="O7" s="48" t="b">
        <v>0</v>
      </c>
    </row>
    <row r="8">
      <c r="A8" s="49">
        <f>IF(B8="","",ROW()-5)</f>
        <v/>
      </c>
      <c r="B8" s="49" t="n"/>
      <c r="C8" s="49" t="n"/>
      <c r="D8" s="49">
        <f>IF(B8="","",TRIM(B8&amp;" "&amp;C8))</f>
        <v/>
      </c>
      <c r="E8" s="49" t="n"/>
      <c r="F8" s="49" t="n"/>
      <c r="G8" s="49" t="n"/>
      <c r="H8" s="49" t="n"/>
      <c r="I8" s="12" t="n"/>
      <c r="J8" s="12" t="n"/>
      <c r="K8" s="12" t="n"/>
      <c r="L8" s="50" t="n"/>
      <c r="M8" s="49" t="n"/>
      <c r="N8" s="12" t="n"/>
      <c r="O8" s="51" t="b">
        <v>0</v>
      </c>
    </row>
    <row r="9">
      <c r="A9" s="49">
        <f>IF(B9="","",ROW()-5)</f>
        <v/>
      </c>
      <c r="B9" s="49" t="n"/>
      <c r="C9" s="49" t="n"/>
      <c r="D9" s="49">
        <f>IF(B9="","",TRIM(B9&amp;" "&amp;C9))</f>
        <v/>
      </c>
      <c r="E9" s="49" t="n"/>
      <c r="F9" s="49" t="n"/>
      <c r="G9" s="49" t="n"/>
      <c r="H9" s="49" t="n"/>
      <c r="I9" s="12" t="n"/>
      <c r="J9" s="12" t="n"/>
      <c r="K9" s="12" t="n"/>
      <c r="L9" s="50" t="n"/>
      <c r="M9" s="49" t="n"/>
      <c r="N9" s="12" t="n"/>
      <c r="O9" s="51" t="b">
        <v>0</v>
      </c>
    </row>
    <row r="10">
      <c r="A10" s="49">
        <f>IF(B10="","",ROW()-5)</f>
        <v/>
      </c>
      <c r="B10" s="49" t="n"/>
      <c r="C10" s="49" t="n"/>
      <c r="D10" s="49">
        <f>IF(B10="","",TRIM(B10&amp;" "&amp;C10))</f>
        <v/>
      </c>
      <c r="E10" s="49" t="n"/>
      <c r="F10" s="49" t="n"/>
      <c r="G10" s="49" t="n"/>
      <c r="H10" s="49" t="n"/>
      <c r="I10" s="12" t="n"/>
      <c r="J10" s="12" t="n"/>
      <c r="K10" s="12" t="n"/>
      <c r="L10" s="50" t="n"/>
      <c r="M10" s="49" t="n"/>
      <c r="N10" s="12" t="n"/>
      <c r="O10" s="51" t="b">
        <v>0</v>
      </c>
    </row>
    <row r="11">
      <c r="A11" s="49">
        <f>IF(B11="","",ROW()-5)</f>
        <v/>
      </c>
      <c r="B11" s="49" t="n"/>
      <c r="C11" s="49" t="n"/>
      <c r="D11" s="49">
        <f>IF(B11="","",TRIM(B11&amp;" "&amp;C11))</f>
        <v/>
      </c>
      <c r="E11" s="49" t="n"/>
      <c r="F11" s="49" t="n"/>
      <c r="G11" s="49" t="n"/>
      <c r="H11" s="49" t="n"/>
      <c r="I11" s="12" t="n"/>
      <c r="J11" s="12" t="n"/>
      <c r="K11" s="12" t="n"/>
      <c r="L11" s="50" t="n"/>
      <c r="M11" s="49" t="n"/>
      <c r="N11" s="12" t="n"/>
      <c r="O11" s="51" t="b">
        <v>0</v>
      </c>
    </row>
    <row r="12">
      <c r="A12" s="49">
        <f>IF(B12="","",ROW()-5)</f>
        <v/>
      </c>
      <c r="B12" s="49" t="n"/>
      <c r="C12" s="49" t="n"/>
      <c r="D12" s="49">
        <f>IF(B12="","",TRIM(B12&amp;" "&amp;C12))</f>
        <v/>
      </c>
      <c r="E12" s="49" t="n"/>
      <c r="F12" s="49" t="n"/>
      <c r="G12" s="49" t="n"/>
      <c r="H12" s="49" t="n"/>
      <c r="I12" s="12" t="n"/>
      <c r="J12" s="12" t="n"/>
      <c r="K12" s="12" t="n"/>
      <c r="L12" s="50" t="n"/>
      <c r="M12" s="49" t="n"/>
      <c r="N12" s="12" t="n"/>
      <c r="O12" s="51" t="b">
        <v>0</v>
      </c>
    </row>
    <row r="13">
      <c r="A13" s="49">
        <f>IF(B13="","",ROW()-5)</f>
        <v/>
      </c>
      <c r="B13" s="49" t="n"/>
      <c r="C13" s="49" t="n"/>
      <c r="D13" s="49">
        <f>IF(B13="","",TRIM(B13&amp;" "&amp;C13))</f>
        <v/>
      </c>
      <c r="E13" s="49" t="n"/>
      <c r="F13" s="49" t="n"/>
      <c r="G13" s="49" t="n"/>
      <c r="H13" s="49" t="n"/>
      <c r="I13" s="12" t="n"/>
      <c r="J13" s="12" t="n"/>
      <c r="K13" s="12" t="n"/>
      <c r="L13" s="50" t="n"/>
      <c r="M13" s="49" t="n"/>
      <c r="N13" s="12" t="n"/>
      <c r="O13" s="51" t="b">
        <v>0</v>
      </c>
    </row>
    <row r="14">
      <c r="A14" s="49">
        <f>IF(B14="","",ROW()-5)</f>
        <v/>
      </c>
      <c r="B14" s="49" t="n"/>
      <c r="C14" s="49" t="n"/>
      <c r="D14" s="49">
        <f>IF(B14="","",TRIM(B14&amp;" "&amp;C14))</f>
        <v/>
      </c>
      <c r="E14" s="49" t="n"/>
      <c r="F14" s="49" t="n"/>
      <c r="G14" s="49" t="n"/>
      <c r="H14" s="49" t="n"/>
      <c r="I14" s="12" t="n"/>
      <c r="J14" s="12" t="n"/>
      <c r="K14" s="12" t="n"/>
      <c r="L14" s="50" t="n"/>
      <c r="M14" s="49" t="n"/>
      <c r="N14" s="12" t="n"/>
      <c r="O14" s="51" t="b">
        <v>0</v>
      </c>
    </row>
    <row r="15">
      <c r="A15" s="49">
        <f>IF(B15="","",ROW()-5)</f>
        <v/>
      </c>
      <c r="B15" s="49" t="n"/>
      <c r="C15" s="49" t="n"/>
      <c r="D15" s="49">
        <f>IF(B15="","",TRIM(B15&amp;" "&amp;C15))</f>
        <v/>
      </c>
      <c r="E15" s="49" t="n"/>
      <c r="F15" s="49" t="n"/>
      <c r="G15" s="49" t="n"/>
      <c r="H15" s="49" t="n"/>
      <c r="I15" s="12" t="n"/>
      <c r="J15" s="12" t="n"/>
      <c r="K15" s="12" t="n"/>
      <c r="L15" s="50" t="n"/>
      <c r="M15" s="49" t="n"/>
      <c r="N15" s="12" t="n"/>
      <c r="O15" s="51" t="b">
        <v>0</v>
      </c>
    </row>
    <row r="16">
      <c r="A16" s="49">
        <f>IF(B16="","",ROW()-5)</f>
        <v/>
      </c>
      <c r="B16" s="49" t="n"/>
      <c r="C16" s="49" t="n"/>
      <c r="D16" s="49">
        <f>IF(B16="","",TRIM(B16&amp;" "&amp;C16))</f>
        <v/>
      </c>
      <c r="E16" s="49" t="n"/>
      <c r="F16" s="49" t="n"/>
      <c r="G16" s="49" t="n"/>
      <c r="H16" s="49" t="n"/>
      <c r="I16" s="12" t="n"/>
      <c r="J16" s="12" t="n"/>
      <c r="K16" s="12" t="n"/>
      <c r="L16" s="50" t="n"/>
      <c r="M16" s="49" t="n"/>
      <c r="N16" s="12" t="n"/>
      <c r="O16" s="51" t="b">
        <v>0</v>
      </c>
    </row>
    <row r="17">
      <c r="A17" s="49">
        <f>IF(B17="","",ROW()-5)</f>
        <v/>
      </c>
      <c r="B17" s="49" t="n"/>
      <c r="C17" s="49" t="n"/>
      <c r="D17" s="49">
        <f>IF(B17="","",TRIM(B17&amp;" "&amp;C17))</f>
        <v/>
      </c>
      <c r="E17" s="49" t="n"/>
      <c r="F17" s="49" t="n"/>
      <c r="G17" s="49" t="n"/>
      <c r="H17" s="49" t="n"/>
      <c r="I17" s="12" t="n"/>
      <c r="J17" s="12" t="n"/>
      <c r="K17" s="12" t="n"/>
      <c r="L17" s="50" t="n"/>
      <c r="M17" s="49" t="n"/>
      <c r="N17" s="12" t="n"/>
      <c r="O17" s="51" t="b">
        <v>0</v>
      </c>
    </row>
    <row r="18">
      <c r="A18" s="49">
        <f>IF(B18="","",ROW()-5)</f>
        <v/>
      </c>
      <c r="B18" s="49" t="n"/>
      <c r="C18" s="49" t="n"/>
      <c r="D18" s="49">
        <f>IF(B18="","",TRIM(B18&amp;" "&amp;C18))</f>
        <v/>
      </c>
      <c r="E18" s="49" t="n"/>
      <c r="F18" s="49" t="n"/>
      <c r="G18" s="49" t="n"/>
      <c r="H18" s="49" t="n"/>
      <c r="I18" s="12" t="n"/>
      <c r="J18" s="12" t="n"/>
      <c r="K18" s="12" t="n"/>
      <c r="L18" s="50" t="n"/>
      <c r="M18" s="49" t="n"/>
      <c r="N18" s="12" t="n"/>
      <c r="O18" s="51" t="b">
        <v>0</v>
      </c>
    </row>
    <row r="19">
      <c r="A19" s="49">
        <f>IF(B19="","",ROW()-5)</f>
        <v/>
      </c>
      <c r="B19" s="49" t="n"/>
      <c r="C19" s="49" t="n"/>
      <c r="D19" s="49">
        <f>IF(B19="","",TRIM(B19&amp;" "&amp;C19))</f>
        <v/>
      </c>
      <c r="E19" s="49" t="n"/>
      <c r="F19" s="49" t="n"/>
      <c r="G19" s="49" t="n"/>
      <c r="H19" s="49" t="n"/>
      <c r="I19" s="12" t="n"/>
      <c r="J19" s="12" t="n"/>
      <c r="K19" s="12" t="n"/>
      <c r="L19" s="50" t="n"/>
      <c r="M19" s="49" t="n"/>
      <c r="N19" s="12" t="n"/>
      <c r="O19" s="51" t="b">
        <v>0</v>
      </c>
    </row>
    <row r="20">
      <c r="A20" s="49">
        <f>IF(B20="","",ROW()-5)</f>
        <v/>
      </c>
      <c r="B20" s="49" t="n"/>
      <c r="C20" s="49" t="n"/>
      <c r="D20" s="49">
        <f>IF(B20="","",TRIM(B20&amp;" "&amp;C20))</f>
        <v/>
      </c>
      <c r="E20" s="49" t="n"/>
      <c r="F20" s="49" t="n"/>
      <c r="G20" s="49" t="n"/>
      <c r="H20" s="49" t="n"/>
      <c r="I20" s="12" t="n"/>
      <c r="J20" s="12" t="n"/>
      <c r="K20" s="12" t="n"/>
      <c r="L20" s="50" t="n"/>
      <c r="M20" s="49" t="n"/>
      <c r="N20" s="12" t="n"/>
      <c r="O20" s="51" t="b">
        <v>0</v>
      </c>
    </row>
    <row r="21">
      <c r="A21" s="49">
        <f>IF(B21="","",ROW()-5)</f>
        <v/>
      </c>
      <c r="B21" s="49" t="n"/>
      <c r="C21" s="49" t="n"/>
      <c r="D21" s="49">
        <f>IF(B21="","",TRIM(B21&amp;" "&amp;C21))</f>
        <v/>
      </c>
      <c r="E21" s="49" t="n"/>
      <c r="F21" s="49" t="n"/>
      <c r="G21" s="49" t="n"/>
      <c r="H21" s="49" t="n"/>
      <c r="I21" s="12" t="n"/>
      <c r="J21" s="12" t="n"/>
      <c r="K21" s="12" t="n"/>
      <c r="L21" s="50" t="n"/>
      <c r="M21" s="49" t="n"/>
      <c r="N21" s="12" t="n"/>
      <c r="O21" s="51" t="b">
        <v>0</v>
      </c>
    </row>
    <row r="22">
      <c r="A22" s="49">
        <f>IF(B22="","",ROW()-5)</f>
        <v/>
      </c>
      <c r="B22" s="49" t="n"/>
      <c r="C22" s="49" t="n"/>
      <c r="D22" s="49">
        <f>IF(B22="","",TRIM(B22&amp;" "&amp;C22))</f>
        <v/>
      </c>
      <c r="E22" s="49" t="n"/>
      <c r="F22" s="49" t="n"/>
      <c r="G22" s="49" t="n"/>
      <c r="H22" s="49" t="n"/>
      <c r="I22" s="12" t="n"/>
      <c r="J22" s="12" t="n"/>
      <c r="K22" s="12" t="n"/>
      <c r="L22" s="50" t="n"/>
      <c r="M22" s="49" t="n"/>
      <c r="N22" s="12" t="n"/>
      <c r="O22" s="51" t="b">
        <v>0</v>
      </c>
    </row>
    <row r="23">
      <c r="A23" s="49">
        <f>IF(B23="","",ROW()-5)</f>
        <v/>
      </c>
      <c r="B23" s="49" t="n"/>
      <c r="C23" s="49" t="n"/>
      <c r="D23" s="49">
        <f>IF(B23="","",TRIM(B23&amp;" "&amp;C23))</f>
        <v/>
      </c>
      <c r="E23" s="49" t="n"/>
      <c r="F23" s="49" t="n"/>
      <c r="G23" s="49" t="n"/>
      <c r="H23" s="49" t="n"/>
      <c r="I23" s="12" t="n"/>
      <c r="J23" s="12" t="n"/>
      <c r="K23" s="12" t="n"/>
      <c r="L23" s="50" t="n"/>
      <c r="M23" s="49" t="n"/>
      <c r="N23" s="12" t="n"/>
      <c r="O23" s="51" t="b">
        <v>0</v>
      </c>
    </row>
    <row r="24">
      <c r="A24" s="49">
        <f>IF(B24="","",ROW()-5)</f>
        <v/>
      </c>
      <c r="B24" s="49" t="n"/>
      <c r="C24" s="49" t="n"/>
      <c r="D24" s="49">
        <f>IF(B24="","",TRIM(B24&amp;" "&amp;C24))</f>
        <v/>
      </c>
      <c r="E24" s="49" t="n"/>
      <c r="F24" s="49" t="n"/>
      <c r="G24" s="49" t="n"/>
      <c r="H24" s="49" t="n"/>
      <c r="I24" s="12" t="n"/>
      <c r="J24" s="12" t="n"/>
      <c r="K24" s="12" t="n"/>
      <c r="L24" s="50" t="n"/>
      <c r="M24" s="49" t="n"/>
      <c r="N24" s="12" t="n"/>
      <c r="O24" s="51" t="b">
        <v>0</v>
      </c>
    </row>
    <row r="25">
      <c r="A25" s="49">
        <f>IF(B25="","",ROW()-5)</f>
        <v/>
      </c>
      <c r="B25" s="49" t="n"/>
      <c r="C25" s="49" t="n"/>
      <c r="D25" s="49">
        <f>IF(B25="","",TRIM(B25&amp;" "&amp;C25))</f>
        <v/>
      </c>
      <c r="E25" s="49" t="n"/>
      <c r="F25" s="49" t="n"/>
      <c r="G25" s="49" t="n"/>
      <c r="H25" s="49" t="n"/>
      <c r="I25" s="12" t="n"/>
      <c r="J25" s="12" t="n"/>
      <c r="K25" s="12" t="n"/>
      <c r="L25" s="50" t="n"/>
      <c r="M25" s="49" t="n"/>
      <c r="N25" s="12" t="n"/>
      <c r="O25" s="51" t="b">
        <v>0</v>
      </c>
    </row>
    <row r="26">
      <c r="A26" s="49">
        <f>IF(B26="","",ROW()-5)</f>
        <v/>
      </c>
      <c r="B26" s="49" t="n"/>
      <c r="C26" s="49" t="n"/>
      <c r="D26" s="49">
        <f>IF(B26="","",TRIM(B26&amp;" "&amp;C26))</f>
        <v/>
      </c>
      <c r="E26" s="49" t="n"/>
      <c r="F26" s="49" t="n"/>
      <c r="G26" s="49" t="n"/>
      <c r="H26" s="49" t="n"/>
      <c r="I26" s="12" t="n"/>
      <c r="J26" s="12" t="n"/>
      <c r="K26" s="12" t="n"/>
      <c r="L26" s="50" t="n"/>
      <c r="M26" s="49" t="n"/>
      <c r="N26" s="12" t="n"/>
      <c r="O26" s="51" t="b">
        <v>0</v>
      </c>
    </row>
    <row r="27">
      <c r="A27" s="49">
        <f>IF(B27="","",ROW()-5)</f>
        <v/>
      </c>
      <c r="B27" s="49" t="n"/>
      <c r="C27" s="49" t="n"/>
      <c r="D27" s="49">
        <f>IF(B27="","",TRIM(B27&amp;" "&amp;C27))</f>
        <v/>
      </c>
      <c r="E27" s="49" t="n"/>
      <c r="F27" s="49" t="n"/>
      <c r="G27" s="49" t="n"/>
      <c r="H27" s="49" t="n"/>
      <c r="I27" s="12" t="n"/>
      <c r="J27" s="12" t="n"/>
      <c r="K27" s="12" t="n"/>
      <c r="L27" s="50" t="n"/>
      <c r="M27" s="49" t="n"/>
      <c r="N27" s="12" t="n"/>
      <c r="O27" s="51" t="b">
        <v>0</v>
      </c>
    </row>
    <row r="28">
      <c r="A28" s="49">
        <f>IF(B28="","",ROW()-5)</f>
        <v/>
      </c>
      <c r="B28" s="49" t="n"/>
      <c r="C28" s="49" t="n"/>
      <c r="D28" s="49">
        <f>IF(B28="","",TRIM(B28&amp;" "&amp;C28))</f>
        <v/>
      </c>
      <c r="E28" s="49" t="n"/>
      <c r="F28" s="49" t="n"/>
      <c r="G28" s="49" t="n"/>
      <c r="H28" s="49" t="n"/>
      <c r="I28" s="12" t="n"/>
      <c r="J28" s="12" t="n"/>
      <c r="K28" s="12" t="n"/>
      <c r="L28" s="50" t="n"/>
      <c r="M28" s="49" t="n"/>
      <c r="N28" s="12" t="n"/>
      <c r="O28" s="51" t="b">
        <v>0</v>
      </c>
    </row>
    <row r="29">
      <c r="A29" s="49">
        <f>IF(B29="","",ROW()-5)</f>
        <v/>
      </c>
      <c r="B29" s="49" t="n"/>
      <c r="C29" s="49" t="n"/>
      <c r="D29" s="49">
        <f>IF(B29="","",TRIM(B29&amp;" "&amp;C29))</f>
        <v/>
      </c>
      <c r="E29" s="49" t="n"/>
      <c r="F29" s="49" t="n"/>
      <c r="G29" s="49" t="n"/>
      <c r="H29" s="49" t="n"/>
      <c r="I29" s="12" t="n"/>
      <c r="J29" s="12" t="n"/>
      <c r="K29" s="12" t="n"/>
      <c r="L29" s="50" t="n"/>
      <c r="M29" s="49" t="n"/>
      <c r="N29" s="12" t="n"/>
      <c r="O29" s="51" t="b">
        <v>0</v>
      </c>
    </row>
    <row r="30">
      <c r="A30" s="49">
        <f>IF(B30="","",ROW()-5)</f>
        <v/>
      </c>
      <c r="B30" s="49" t="n"/>
      <c r="C30" s="49" t="n"/>
      <c r="D30" s="49">
        <f>IF(B30="","",TRIM(B30&amp;" "&amp;C30))</f>
        <v/>
      </c>
      <c r="E30" s="49" t="n"/>
      <c r="F30" s="49" t="n"/>
      <c r="G30" s="49" t="n"/>
      <c r="H30" s="49" t="n"/>
      <c r="I30" s="12" t="n"/>
      <c r="J30" s="12" t="n"/>
      <c r="K30" s="12" t="n"/>
      <c r="L30" s="50" t="n"/>
      <c r="M30" s="49" t="n"/>
      <c r="N30" s="12" t="n"/>
      <c r="O30" s="51" t="b">
        <v>0</v>
      </c>
    </row>
    <row r="31">
      <c r="A31" s="49">
        <f>IF(B31="","",ROW()-5)</f>
        <v/>
      </c>
      <c r="B31" s="49" t="n"/>
      <c r="C31" s="49" t="n"/>
      <c r="D31" s="49">
        <f>IF(B31="","",TRIM(B31&amp;" "&amp;C31))</f>
        <v/>
      </c>
      <c r="E31" s="49" t="n"/>
      <c r="F31" s="49" t="n"/>
      <c r="G31" s="49" t="n"/>
      <c r="H31" s="49" t="n"/>
      <c r="I31" s="12" t="n"/>
      <c r="J31" s="12" t="n"/>
      <c r="K31" s="12" t="n"/>
      <c r="L31" s="50" t="n"/>
      <c r="M31" s="49" t="n"/>
      <c r="N31" s="12" t="n"/>
      <c r="O31" s="51" t="b">
        <v>0</v>
      </c>
    </row>
    <row r="32">
      <c r="A32" s="49">
        <f>IF(B32="","",ROW()-5)</f>
        <v/>
      </c>
      <c r="B32" s="49" t="n"/>
      <c r="C32" s="49" t="n"/>
      <c r="D32" s="49">
        <f>IF(B32="","",TRIM(B32&amp;" "&amp;C32))</f>
        <v/>
      </c>
      <c r="E32" s="49" t="n"/>
      <c r="F32" s="49" t="n"/>
      <c r="G32" s="49" t="n"/>
      <c r="H32" s="49" t="n"/>
      <c r="I32" s="12" t="n"/>
      <c r="J32" s="12" t="n"/>
      <c r="K32" s="12" t="n"/>
      <c r="L32" s="50" t="n"/>
      <c r="M32" s="49" t="n"/>
      <c r="N32" s="12" t="n"/>
      <c r="O32" s="51" t="b">
        <v>0</v>
      </c>
    </row>
    <row r="33">
      <c r="A33" s="49">
        <f>IF(B33="","",ROW()-5)</f>
        <v/>
      </c>
      <c r="B33" s="49" t="n"/>
      <c r="C33" s="49" t="n"/>
      <c r="D33" s="49">
        <f>IF(B33="","",TRIM(B33&amp;" "&amp;C33))</f>
        <v/>
      </c>
      <c r="E33" s="49" t="n"/>
      <c r="F33" s="49" t="n"/>
      <c r="G33" s="49" t="n"/>
      <c r="H33" s="49" t="n"/>
      <c r="I33" s="12" t="n"/>
      <c r="J33" s="12" t="n"/>
      <c r="K33" s="12" t="n"/>
      <c r="L33" s="50" t="n"/>
      <c r="M33" s="49" t="n"/>
      <c r="N33" s="12" t="n"/>
      <c r="O33" s="51" t="b">
        <v>0</v>
      </c>
    </row>
    <row r="34">
      <c r="A34" s="49">
        <f>IF(B34="","",ROW()-5)</f>
        <v/>
      </c>
      <c r="B34" s="49" t="n"/>
      <c r="C34" s="49" t="n"/>
      <c r="D34" s="49">
        <f>IF(B34="","",TRIM(B34&amp;" "&amp;C34))</f>
        <v/>
      </c>
      <c r="E34" s="49" t="n"/>
      <c r="F34" s="49" t="n"/>
      <c r="G34" s="49" t="n"/>
      <c r="H34" s="49" t="n"/>
      <c r="I34" s="12" t="n"/>
      <c r="J34" s="12" t="n"/>
      <c r="K34" s="12" t="n"/>
      <c r="L34" s="50" t="n"/>
      <c r="M34" s="49" t="n"/>
      <c r="N34" s="12" t="n"/>
      <c r="O34" s="51" t="b">
        <v>0</v>
      </c>
    </row>
    <row r="35">
      <c r="A35" s="49">
        <f>IF(B35="","",ROW()-5)</f>
        <v/>
      </c>
      <c r="B35" s="49" t="n"/>
      <c r="C35" s="49" t="n"/>
      <c r="D35" s="49">
        <f>IF(B35="","",TRIM(B35&amp;" "&amp;C35))</f>
        <v/>
      </c>
      <c r="E35" s="49" t="n"/>
      <c r="F35" s="49" t="n"/>
      <c r="G35" s="49" t="n"/>
      <c r="H35" s="49" t="n"/>
      <c r="I35" s="12" t="n"/>
      <c r="J35" s="12" t="n"/>
      <c r="K35" s="12" t="n"/>
      <c r="L35" s="50" t="n"/>
      <c r="M35" s="49" t="n"/>
      <c r="N35" s="12" t="n"/>
      <c r="O35" s="51" t="b">
        <v>0</v>
      </c>
    </row>
    <row r="36">
      <c r="A36" s="49">
        <f>IF(B36="","",ROW()-5)</f>
        <v/>
      </c>
      <c r="B36" s="49" t="n"/>
      <c r="C36" s="49" t="n"/>
      <c r="D36" s="49">
        <f>IF(B36="","",TRIM(B36&amp;" "&amp;C36))</f>
        <v/>
      </c>
      <c r="E36" s="49" t="n"/>
      <c r="F36" s="49" t="n"/>
      <c r="G36" s="49" t="n"/>
      <c r="H36" s="49" t="n"/>
      <c r="I36" s="12" t="n"/>
      <c r="J36" s="12" t="n"/>
      <c r="K36" s="12" t="n"/>
      <c r="L36" s="50" t="n"/>
      <c r="M36" s="49" t="n"/>
      <c r="N36" s="12" t="n"/>
      <c r="O36" s="51" t="b">
        <v>0</v>
      </c>
    </row>
    <row r="37">
      <c r="A37" s="49">
        <f>IF(B37="","",ROW()-5)</f>
        <v/>
      </c>
      <c r="B37" s="49" t="n"/>
      <c r="C37" s="49" t="n"/>
      <c r="D37" s="49">
        <f>IF(B37="","",TRIM(B37&amp;" "&amp;C37))</f>
        <v/>
      </c>
      <c r="E37" s="49" t="n"/>
      <c r="F37" s="49" t="n"/>
      <c r="G37" s="49" t="n"/>
      <c r="H37" s="49" t="n"/>
      <c r="I37" s="12" t="n"/>
      <c r="J37" s="12" t="n"/>
      <c r="K37" s="12" t="n"/>
      <c r="L37" s="50" t="n"/>
      <c r="M37" s="49" t="n"/>
      <c r="N37" s="12" t="n"/>
      <c r="O37" s="51" t="b">
        <v>0</v>
      </c>
    </row>
  </sheetData>
  <mergeCells count="3">
    <mergeCell ref="C4:F4"/>
    <mergeCell ref="A2:N2"/>
    <mergeCell ref="A1:N1"/>
  </mergeCells>
  <conditionalFormatting sqref="O6:O37">
    <cfRule type="expression" priority="1" dxfId="4">
      <formula>O6=TRUE</formula>
    </cfRule>
  </conditionalFormatting>
  <conditionalFormatting sqref="A6:N37">
    <cfRule type="expression" priority="2" dxfId="5">
      <formula>$F6=Settings!$B$5</formula>
    </cfRule>
    <cfRule type="expression" priority="3" dxfId="6">
      <formula>$F6=Settings!$B$6</formula>
    </cfRule>
    <cfRule type="expression" priority="4" dxfId="7">
      <formula>$F6=Settings!$B$7</formula>
    </cfRule>
  </conditionalFormatting>
  <dataValidations count="4">
    <dataValidation sqref="B4" showDropDown="0" showInputMessage="0" showErrorMessage="0" allowBlank="0" type="list">
      <formula1>"TRUE,FALSE"</formula1>
    </dataValidation>
    <dataValidation sqref="O6:O37" showDropDown="0" showInputMessage="0" showErrorMessage="0" allowBlank="0" type="list">
      <formula1>"TRUE,FALSE"</formula1>
    </dataValidation>
    <dataValidation sqref="F6:F37" showDropDown="0" showInputMessage="0" showErrorMessage="0" allowBlank="1" error="Pick a tier from the Settings list." prompt="Choose the athlete's tier" type="list">
      <formula1>=GroupNamesRange</formula1>
    </dataValidation>
    <dataValidation sqref="M6:M37" showDropDown="0" showInputMessage="0" showErrorMessage="0" allowBlank="1" type="list">
      <formula1>"Active,Inactive"</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B7B7B7"/>
    <outlinePr summaryBelow="1" summaryRight="1"/>
    <pageSetUpPr fitToPage="1"/>
  </sheetPr>
  <dimension ref="A1:W19"/>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3" customWidth="1" min="3" max="3"/>
    <col width="19" customWidth="1" min="4" max="4"/>
    <col width="14" customWidth="1" min="5" max="5"/>
    <col width="8" customWidth="1" min="6" max="6"/>
    <col width="8" customWidth="1" min="7" max="7"/>
    <col width="8" customWidth="1" min="8" max="8"/>
    <col width="16" customWidth="1" min="9" max="9"/>
    <col width="22" customWidth="1" min="10" max="10"/>
    <col width="13" customWidth="1" min="11" max="11"/>
    <col width="26" customWidth="1" min="12" max="12"/>
    <col width="28" customWidth="1" min="13" max="13"/>
    <col width="10" customWidth="1" min="14" max="14"/>
    <col hidden="1" width="3" customWidth="1" min="15" max="15"/>
    <col hidden="1" width="8" customWidth="1" min="16" max="16"/>
    <col hidden="1" width="8" customWidth="1" min="17" max="17"/>
    <col hidden="1" width="8" customWidth="1" min="18" max="18"/>
    <col hidden="1" width="3" customWidth="1" min="19" max="19"/>
    <col width="18" customWidth="1" min="20" max="20"/>
    <col width="18" customWidth="1" min="21" max="21"/>
    <col width="18" customWidth="1" min="22" max="22"/>
    <col width="10" customWidth="1" min="23" max="23"/>
  </cols>
  <sheetData>
    <row r="1" ht="30" customHeight="1">
      <c r="A1" s="21" t="inlineStr">
        <is>
          <t>Coach Profiles</t>
        </is>
      </c>
    </row>
    <row r="2">
      <c r="A2" s="2" t="inlineStr">
        <is>
          <t>One row per coach, for any day they coach. Type straight into a blank row below to add someone — works on a phone, no menu needed. Tap the checkbox in row 4 to jump to the next open row. Flag which day(s) each coach works — Full Team Calendar and Rotation Schedule pull from these flags automatically, in row order, to rotate lead-coach duty.</t>
        </is>
      </c>
    </row>
    <row r="3">
      <c r="A3" s="43" t="inlineStr">
        <is>
          <t>Counts (auto):</t>
        </is>
      </c>
      <c r="B3" s="44">
        <f>"Mon: "&amp;SUMPRODUCT(--(MondayCoachList&lt;&gt;""))</f>
        <v/>
      </c>
      <c r="D3" s="44">
        <f>"Tue: "&amp;SUMPRODUCT(--(TuesdayCoachList&lt;&gt;""))</f>
        <v/>
      </c>
      <c r="F3" s="44">
        <f>"Thu: "&amp;SUMPRODUCT(--(ThursdayCoachList&lt;&gt;""))</f>
        <v/>
      </c>
      <c r="H3" s="44">
        <f>"Total: "&amp;COUNTA($B$6:$B$19)</f>
        <v/>
      </c>
    </row>
    <row r="4">
      <c r="A4" s="22" t="inlineStr">
        <is>
          <t>New:</t>
        </is>
      </c>
      <c r="B4" s="23" t="b">
        <v>0</v>
      </c>
      <c r="C4" s="24" t="inlineStr">
        <is>
          <t>tap TRUE to jump to the next open row</t>
        </is>
      </c>
    </row>
    <row r="5" ht="28" customHeight="1">
      <c r="A5" s="9" t="inlineStr">
        <is>
          <t>ID</t>
        </is>
      </c>
      <c r="B5" s="9" t="inlineStr">
        <is>
          <t>First Name</t>
        </is>
      </c>
      <c r="C5" s="9" t="inlineStr">
        <is>
          <t>Last Name</t>
        </is>
      </c>
      <c r="D5" s="9" t="inlineStr">
        <is>
          <t>Full Name</t>
        </is>
      </c>
      <c r="E5" s="9" t="inlineStr">
        <is>
          <t>Role</t>
        </is>
      </c>
      <c r="F5" s="9" t="inlineStr">
        <is>
          <t>Mon?</t>
        </is>
      </c>
      <c r="G5" s="9" t="inlineStr">
        <is>
          <t>Tue?</t>
        </is>
      </c>
      <c r="H5" s="9" t="inlineStr">
        <is>
          <t>Thu?</t>
        </is>
      </c>
      <c r="I5" s="9" t="inlineStr">
        <is>
          <t>Other Days</t>
        </is>
      </c>
      <c r="J5" s="9" t="inlineStr">
        <is>
          <t>Email</t>
        </is>
      </c>
      <c r="K5" s="9" t="inlineStr">
        <is>
          <t>Phone</t>
        </is>
      </c>
      <c r="L5" s="9" t="inlineStr">
        <is>
          <t>Specialties / Certifications</t>
        </is>
      </c>
      <c r="M5" s="9" t="inlineStr">
        <is>
          <t>Bio / Notes</t>
        </is>
      </c>
      <c r="N5" s="9" t="inlineStr">
        <is>
          <t>Status</t>
        </is>
      </c>
      <c r="P5" s="52" t="inlineStr">
        <is>
          <t>Mon Rk</t>
        </is>
      </c>
      <c r="Q5" s="52" t="inlineStr">
        <is>
          <t>Tue Rk</t>
        </is>
      </c>
      <c r="R5" s="52" t="inlineStr">
        <is>
          <t>Thu Rk</t>
        </is>
      </c>
      <c r="T5" s="25" t="inlineStr">
        <is>
          <t>Monday order</t>
        </is>
      </c>
      <c r="U5" s="25" t="inlineStr">
        <is>
          <t>Tuesday order</t>
        </is>
      </c>
      <c r="V5" s="25" t="inlineStr">
        <is>
          <t>Thursday order</t>
        </is>
      </c>
      <c r="W5" s="9" t="inlineStr">
        <is>
          <t>⚠ Delete?</t>
        </is>
      </c>
    </row>
    <row r="6">
      <c r="A6" s="45">
        <f>IF(B6="","",ROW()-5)</f>
        <v/>
      </c>
      <c r="B6" s="45" t="inlineStr">
        <is>
          <t>Jordan</t>
        </is>
      </c>
      <c r="C6" s="45" t="inlineStr">
        <is>
          <t>Lee</t>
        </is>
      </c>
      <c r="D6" s="45">
        <f>IF(B6="","",TRIM(B6&amp;" "&amp;C6))</f>
        <v/>
      </c>
      <c r="E6" s="45" t="inlineStr">
        <is>
          <t>Head Coach</t>
        </is>
      </c>
      <c r="F6" s="45" t="inlineStr">
        <is>
          <t>Yes</t>
        </is>
      </c>
      <c r="G6" s="45" t="inlineStr">
        <is>
          <t>Yes</t>
        </is>
      </c>
      <c r="H6" s="45" t="inlineStr">
        <is>
          <t>No</t>
        </is>
      </c>
      <c r="I6" s="45" t="inlineStr"/>
      <c r="J6" s="45" t="inlineStr">
        <is>
          <t>jordan@example.com</t>
        </is>
      </c>
      <c r="K6" s="45" t="inlineStr">
        <is>
          <t>(555) 010-2231</t>
        </is>
      </c>
      <c r="L6" s="46" t="inlineStr">
        <is>
          <t>USAC Level 2, Youth Development</t>
        </is>
      </c>
      <c r="M6" s="46" t="inlineStr">
        <is>
          <t>Leads Monday &amp; Tuesday team practices.</t>
        </is>
      </c>
      <c r="N6" s="45" t="inlineStr">
        <is>
          <t>Active</t>
        </is>
      </c>
      <c r="P6" s="53">
        <f>IF(AND($F6="Yes",$N6="Active"),COUNTIFS($F$6:$F6,"Yes",$N$6:$N6,"Active"),"")</f>
        <v/>
      </c>
      <c r="Q6" s="53">
        <f>IF(AND($G6="Yes",$N6="Active"),COUNTIFS($G$6:$G6,"Yes",$N$6:$N6,"Active"),"")</f>
        <v/>
      </c>
      <c r="R6" s="53">
        <f>IF(AND($H6="Yes",$N6="Active"),COUNTIFS($H$6:$H6,"Yes",$N$6:$N6,"Active"),"")</f>
        <v/>
      </c>
      <c r="T6" s="54">
        <f>IFERROR(INDEX($D$6:$D$19,MATCH(1,$P$6:$P$19,0)),"")</f>
        <v/>
      </c>
      <c r="U6" s="54">
        <f>IFERROR(INDEX($D$6:$D$19,MATCH(1,$Q$6:$Q$19,0)),"")</f>
        <v/>
      </c>
      <c r="V6" s="54">
        <f>IFERROR(INDEX($D$6:$D$19,MATCH(1,$R$6:$R$19,0)),"")</f>
        <v/>
      </c>
      <c r="W6" s="48" t="b">
        <v>0</v>
      </c>
    </row>
    <row r="7">
      <c r="A7" s="45">
        <f>IF(B7="","",ROW()-5)</f>
        <v/>
      </c>
      <c r="B7" s="45" t="inlineStr">
        <is>
          <t>Taylor</t>
        </is>
      </c>
      <c r="C7" s="45" t="inlineStr">
        <is>
          <t>Brooks</t>
        </is>
      </c>
      <c r="D7" s="45">
        <f>IF(B7="","",TRIM(B7&amp;" "&amp;C7))</f>
        <v/>
      </c>
      <c r="E7" s="45" t="inlineStr">
        <is>
          <t>Coach</t>
        </is>
      </c>
      <c r="F7" s="45" t="inlineStr">
        <is>
          <t>No</t>
        </is>
      </c>
      <c r="G7" s="45" t="inlineStr">
        <is>
          <t>No</t>
        </is>
      </c>
      <c r="H7" s="45" t="inlineStr">
        <is>
          <t>Yes</t>
        </is>
      </c>
      <c r="I7" s="45" t="inlineStr"/>
      <c r="J7" s="45" t="inlineStr">
        <is>
          <t>taylor@example.com</t>
        </is>
      </c>
      <c r="K7" s="45" t="inlineStr">
        <is>
          <t>(555) 010-4470</t>
        </is>
      </c>
      <c r="L7" s="46" t="inlineStr">
        <is>
          <t>Youth coordination, competition prep</t>
        </is>
      </c>
      <c r="M7" s="46" t="inlineStr">
        <is>
          <t>Plans and leads the Thursday tiered block.</t>
        </is>
      </c>
      <c r="N7" s="45" t="inlineStr">
        <is>
          <t>Active</t>
        </is>
      </c>
      <c r="P7" s="53">
        <f>IF(AND($F7="Yes",$N7="Active"),COUNTIFS($F$6:$F7,"Yes",$N$6:$N7,"Active"),"")</f>
        <v/>
      </c>
      <c r="Q7" s="53">
        <f>IF(AND($G7="Yes",$N7="Active"),COUNTIFS($G$6:$G7,"Yes",$N$6:$N7,"Active"),"")</f>
        <v/>
      </c>
      <c r="R7" s="53">
        <f>IF(AND($H7="Yes",$N7="Active"),COUNTIFS($H$6:$H7,"Yes",$N$6:$N7,"Active"),"")</f>
        <v/>
      </c>
      <c r="T7" s="54">
        <f>IFERROR(INDEX($D$6:$D$19,MATCH(2,$P$6:$P$19,0)),"")</f>
        <v/>
      </c>
      <c r="U7" s="54">
        <f>IFERROR(INDEX($D$6:$D$19,MATCH(2,$Q$6:$Q$19,0)),"")</f>
        <v/>
      </c>
      <c r="V7" s="54">
        <f>IFERROR(INDEX($D$6:$D$19,MATCH(2,$R$6:$R$19,0)),"")</f>
        <v/>
      </c>
      <c r="W7" s="48" t="b">
        <v>0</v>
      </c>
    </row>
    <row r="8">
      <c r="A8" s="49">
        <f>IF(B8="","",ROW()-5)</f>
        <v/>
      </c>
      <c r="B8" s="49" t="n"/>
      <c r="C8" s="49" t="n"/>
      <c r="D8" s="49">
        <f>IF(B8="","",TRIM(B8&amp;" "&amp;C8))</f>
        <v/>
      </c>
      <c r="E8" s="49" t="n"/>
      <c r="F8" s="49" t="n"/>
      <c r="G8" s="49" t="n"/>
      <c r="H8" s="49" t="n"/>
      <c r="I8" s="49" t="n"/>
      <c r="J8" s="49" t="n"/>
      <c r="K8" s="49" t="n"/>
      <c r="L8" s="12" t="n"/>
      <c r="M8" s="12" t="n"/>
      <c r="N8" s="49" t="n"/>
      <c r="P8" s="53">
        <f>IF(AND($F8="Yes",$N8="Active"),COUNTIFS($F$6:$F8,"Yes",$N$6:$N8,"Active"),"")</f>
        <v/>
      </c>
      <c r="Q8" s="53">
        <f>IF(AND($G8="Yes",$N8="Active"),COUNTIFS($G$6:$G8,"Yes",$N$6:$N8,"Active"),"")</f>
        <v/>
      </c>
      <c r="R8" s="53">
        <f>IF(AND($H8="Yes",$N8="Active"),COUNTIFS($H$6:$H8,"Yes",$N$6:$N8,"Active"),"")</f>
        <v/>
      </c>
      <c r="T8" s="54">
        <f>IFERROR(INDEX($D$6:$D$19,MATCH(3,$P$6:$P$19,0)),"")</f>
        <v/>
      </c>
      <c r="U8" s="54">
        <f>IFERROR(INDEX($D$6:$D$19,MATCH(3,$Q$6:$Q$19,0)),"")</f>
        <v/>
      </c>
      <c r="V8" s="54">
        <f>IFERROR(INDEX($D$6:$D$19,MATCH(3,$R$6:$R$19,0)),"")</f>
        <v/>
      </c>
      <c r="W8" s="51" t="b">
        <v>0</v>
      </c>
    </row>
    <row r="9">
      <c r="A9" s="49">
        <f>IF(B9="","",ROW()-5)</f>
        <v/>
      </c>
      <c r="B9" s="49" t="n"/>
      <c r="C9" s="49" t="n"/>
      <c r="D9" s="49">
        <f>IF(B9="","",TRIM(B9&amp;" "&amp;C9))</f>
        <v/>
      </c>
      <c r="E9" s="49" t="n"/>
      <c r="F9" s="49" t="n"/>
      <c r="G9" s="49" t="n"/>
      <c r="H9" s="49" t="n"/>
      <c r="I9" s="49" t="n"/>
      <c r="J9" s="49" t="n"/>
      <c r="K9" s="49" t="n"/>
      <c r="L9" s="12" t="n"/>
      <c r="M9" s="12" t="n"/>
      <c r="N9" s="49" t="n"/>
      <c r="P9" s="53">
        <f>IF(AND($F9="Yes",$N9="Active"),COUNTIFS($F$6:$F9,"Yes",$N$6:$N9,"Active"),"")</f>
        <v/>
      </c>
      <c r="Q9" s="53">
        <f>IF(AND($G9="Yes",$N9="Active"),COUNTIFS($G$6:$G9,"Yes",$N$6:$N9,"Active"),"")</f>
        <v/>
      </c>
      <c r="R9" s="53">
        <f>IF(AND($H9="Yes",$N9="Active"),COUNTIFS($H$6:$H9,"Yes",$N$6:$N9,"Active"),"")</f>
        <v/>
      </c>
      <c r="T9" s="54">
        <f>IFERROR(INDEX($D$6:$D$19,MATCH(4,$P$6:$P$19,0)),"")</f>
        <v/>
      </c>
      <c r="U9" s="54">
        <f>IFERROR(INDEX($D$6:$D$19,MATCH(4,$Q$6:$Q$19,0)),"")</f>
        <v/>
      </c>
      <c r="V9" s="54">
        <f>IFERROR(INDEX($D$6:$D$19,MATCH(4,$R$6:$R$19,0)),"")</f>
        <v/>
      </c>
      <c r="W9" s="51" t="b">
        <v>0</v>
      </c>
    </row>
    <row r="10">
      <c r="A10" s="49">
        <f>IF(B10="","",ROW()-5)</f>
        <v/>
      </c>
      <c r="B10" s="49" t="n"/>
      <c r="C10" s="49" t="n"/>
      <c r="D10" s="49">
        <f>IF(B10="","",TRIM(B10&amp;" "&amp;C10))</f>
        <v/>
      </c>
      <c r="E10" s="49" t="n"/>
      <c r="F10" s="49" t="n"/>
      <c r="G10" s="49" t="n"/>
      <c r="H10" s="49" t="n"/>
      <c r="I10" s="49" t="n"/>
      <c r="J10" s="49" t="n"/>
      <c r="K10" s="49" t="n"/>
      <c r="L10" s="12" t="n"/>
      <c r="M10" s="12" t="n"/>
      <c r="N10" s="49" t="n"/>
      <c r="P10" s="53">
        <f>IF(AND($F10="Yes",$N10="Active"),COUNTIFS($F$6:$F10,"Yes",$N$6:$N10,"Active"),"")</f>
        <v/>
      </c>
      <c r="Q10" s="53">
        <f>IF(AND($G10="Yes",$N10="Active"),COUNTIFS($G$6:$G10,"Yes",$N$6:$N10,"Active"),"")</f>
        <v/>
      </c>
      <c r="R10" s="53">
        <f>IF(AND($H10="Yes",$N10="Active"),COUNTIFS($H$6:$H10,"Yes",$N$6:$N10,"Active"),"")</f>
        <v/>
      </c>
      <c r="T10" s="54">
        <f>IFERROR(INDEX($D$6:$D$19,MATCH(5,$P$6:$P$19,0)),"")</f>
        <v/>
      </c>
      <c r="U10" s="54">
        <f>IFERROR(INDEX($D$6:$D$19,MATCH(5,$Q$6:$Q$19,0)),"")</f>
        <v/>
      </c>
      <c r="V10" s="54">
        <f>IFERROR(INDEX($D$6:$D$19,MATCH(5,$R$6:$R$19,0)),"")</f>
        <v/>
      </c>
      <c r="W10" s="51" t="b">
        <v>0</v>
      </c>
    </row>
    <row r="11">
      <c r="A11" s="49">
        <f>IF(B11="","",ROW()-5)</f>
        <v/>
      </c>
      <c r="B11" s="49" t="n"/>
      <c r="C11" s="49" t="n"/>
      <c r="D11" s="49">
        <f>IF(B11="","",TRIM(B11&amp;" "&amp;C11))</f>
        <v/>
      </c>
      <c r="E11" s="49" t="n"/>
      <c r="F11" s="49" t="n"/>
      <c r="G11" s="49" t="n"/>
      <c r="H11" s="49" t="n"/>
      <c r="I11" s="49" t="n"/>
      <c r="J11" s="49" t="n"/>
      <c r="K11" s="49" t="n"/>
      <c r="L11" s="12" t="n"/>
      <c r="M11" s="12" t="n"/>
      <c r="N11" s="49" t="n"/>
      <c r="P11" s="53">
        <f>IF(AND($F11="Yes",$N11="Active"),COUNTIFS($F$6:$F11,"Yes",$N$6:$N11,"Active"),"")</f>
        <v/>
      </c>
      <c r="Q11" s="53">
        <f>IF(AND($G11="Yes",$N11="Active"),COUNTIFS($G$6:$G11,"Yes",$N$6:$N11,"Active"),"")</f>
        <v/>
      </c>
      <c r="R11" s="53">
        <f>IF(AND($H11="Yes",$N11="Active"),COUNTIFS($H$6:$H11,"Yes",$N$6:$N11,"Active"),"")</f>
        <v/>
      </c>
      <c r="T11" s="54">
        <f>IFERROR(INDEX($D$6:$D$19,MATCH(6,$P$6:$P$19,0)),"")</f>
        <v/>
      </c>
      <c r="U11" s="54">
        <f>IFERROR(INDEX($D$6:$D$19,MATCH(6,$Q$6:$Q$19,0)),"")</f>
        <v/>
      </c>
      <c r="V11" s="54">
        <f>IFERROR(INDEX($D$6:$D$19,MATCH(6,$R$6:$R$19,0)),"")</f>
        <v/>
      </c>
      <c r="W11" s="51" t="b">
        <v>0</v>
      </c>
    </row>
    <row r="12">
      <c r="A12" s="49">
        <f>IF(B12="","",ROW()-5)</f>
        <v/>
      </c>
      <c r="B12" s="49" t="n"/>
      <c r="C12" s="49" t="n"/>
      <c r="D12" s="49">
        <f>IF(B12="","",TRIM(B12&amp;" "&amp;C12))</f>
        <v/>
      </c>
      <c r="E12" s="49" t="n"/>
      <c r="F12" s="49" t="n"/>
      <c r="G12" s="49" t="n"/>
      <c r="H12" s="49" t="n"/>
      <c r="I12" s="49" t="n"/>
      <c r="J12" s="49" t="n"/>
      <c r="K12" s="49" t="n"/>
      <c r="L12" s="12" t="n"/>
      <c r="M12" s="12" t="n"/>
      <c r="N12" s="49" t="n"/>
      <c r="P12" s="53">
        <f>IF(AND($F12="Yes",$N12="Active"),COUNTIFS($F$6:$F12,"Yes",$N$6:$N12,"Active"),"")</f>
        <v/>
      </c>
      <c r="Q12" s="53">
        <f>IF(AND($G12="Yes",$N12="Active"),COUNTIFS($G$6:$G12,"Yes",$N$6:$N12,"Active"),"")</f>
        <v/>
      </c>
      <c r="R12" s="53">
        <f>IF(AND($H12="Yes",$N12="Active"),COUNTIFS($H$6:$H12,"Yes",$N$6:$N12,"Active"),"")</f>
        <v/>
      </c>
      <c r="T12" s="54">
        <f>IFERROR(INDEX($D$6:$D$19,MATCH(7,$P$6:$P$19,0)),"")</f>
        <v/>
      </c>
      <c r="U12" s="54">
        <f>IFERROR(INDEX($D$6:$D$19,MATCH(7,$Q$6:$Q$19,0)),"")</f>
        <v/>
      </c>
      <c r="V12" s="54">
        <f>IFERROR(INDEX($D$6:$D$19,MATCH(7,$R$6:$R$19,0)),"")</f>
        <v/>
      </c>
      <c r="W12" s="51" t="b">
        <v>0</v>
      </c>
    </row>
    <row r="13">
      <c r="A13" s="49">
        <f>IF(B13="","",ROW()-5)</f>
        <v/>
      </c>
      <c r="B13" s="49" t="n"/>
      <c r="C13" s="49" t="n"/>
      <c r="D13" s="49">
        <f>IF(B13="","",TRIM(B13&amp;" "&amp;C13))</f>
        <v/>
      </c>
      <c r="E13" s="49" t="n"/>
      <c r="F13" s="49" t="n"/>
      <c r="G13" s="49" t="n"/>
      <c r="H13" s="49" t="n"/>
      <c r="I13" s="49" t="n"/>
      <c r="J13" s="49" t="n"/>
      <c r="K13" s="49" t="n"/>
      <c r="L13" s="12" t="n"/>
      <c r="M13" s="12" t="n"/>
      <c r="N13" s="49" t="n"/>
      <c r="P13" s="53">
        <f>IF(AND($F13="Yes",$N13="Active"),COUNTIFS($F$6:$F13,"Yes",$N$6:$N13,"Active"),"")</f>
        <v/>
      </c>
      <c r="Q13" s="53">
        <f>IF(AND($G13="Yes",$N13="Active"),COUNTIFS($G$6:$G13,"Yes",$N$6:$N13,"Active"),"")</f>
        <v/>
      </c>
      <c r="R13" s="53">
        <f>IF(AND($H13="Yes",$N13="Active"),COUNTIFS($H$6:$H13,"Yes",$N$6:$N13,"Active"),"")</f>
        <v/>
      </c>
      <c r="T13" s="54">
        <f>IFERROR(INDEX($D$6:$D$19,MATCH(8,$P$6:$P$19,0)),"")</f>
        <v/>
      </c>
      <c r="U13" s="54">
        <f>IFERROR(INDEX($D$6:$D$19,MATCH(8,$Q$6:$Q$19,0)),"")</f>
        <v/>
      </c>
      <c r="V13" s="54">
        <f>IFERROR(INDEX($D$6:$D$19,MATCH(8,$R$6:$R$19,0)),"")</f>
        <v/>
      </c>
      <c r="W13" s="51" t="b">
        <v>0</v>
      </c>
    </row>
    <row r="14">
      <c r="A14" s="49">
        <f>IF(B14="","",ROW()-5)</f>
        <v/>
      </c>
      <c r="B14" s="49" t="n"/>
      <c r="C14" s="49" t="n"/>
      <c r="D14" s="49">
        <f>IF(B14="","",TRIM(B14&amp;" "&amp;C14))</f>
        <v/>
      </c>
      <c r="E14" s="49" t="n"/>
      <c r="F14" s="49" t="n"/>
      <c r="G14" s="49" t="n"/>
      <c r="H14" s="49" t="n"/>
      <c r="I14" s="49" t="n"/>
      <c r="J14" s="49" t="n"/>
      <c r="K14" s="49" t="n"/>
      <c r="L14" s="12" t="n"/>
      <c r="M14" s="12" t="n"/>
      <c r="N14" s="49" t="n"/>
      <c r="P14" s="53">
        <f>IF(AND($F14="Yes",$N14="Active"),COUNTIFS($F$6:$F14,"Yes",$N$6:$N14,"Active"),"")</f>
        <v/>
      </c>
      <c r="Q14" s="53">
        <f>IF(AND($G14="Yes",$N14="Active"),COUNTIFS($G$6:$G14,"Yes",$N$6:$N14,"Active"),"")</f>
        <v/>
      </c>
      <c r="R14" s="53">
        <f>IF(AND($H14="Yes",$N14="Active"),COUNTIFS($H$6:$H14,"Yes",$N$6:$N14,"Active"),"")</f>
        <v/>
      </c>
      <c r="W14" s="51" t="b">
        <v>0</v>
      </c>
    </row>
    <row r="15">
      <c r="A15" s="49">
        <f>IF(B15="","",ROW()-5)</f>
        <v/>
      </c>
      <c r="B15" s="49" t="n"/>
      <c r="C15" s="49" t="n"/>
      <c r="D15" s="49">
        <f>IF(B15="","",TRIM(B15&amp;" "&amp;C15))</f>
        <v/>
      </c>
      <c r="E15" s="49" t="n"/>
      <c r="F15" s="49" t="n"/>
      <c r="G15" s="49" t="n"/>
      <c r="H15" s="49" t="n"/>
      <c r="I15" s="49" t="n"/>
      <c r="J15" s="49" t="n"/>
      <c r="K15" s="49" t="n"/>
      <c r="L15" s="12" t="n"/>
      <c r="M15" s="12" t="n"/>
      <c r="N15" s="49" t="n"/>
      <c r="P15" s="53">
        <f>IF(AND($F15="Yes",$N15="Active"),COUNTIFS($F$6:$F15,"Yes",$N$6:$N15,"Active"),"")</f>
        <v/>
      </c>
      <c r="Q15" s="53">
        <f>IF(AND($G15="Yes",$N15="Active"),COUNTIFS($G$6:$G15,"Yes",$N$6:$N15,"Active"),"")</f>
        <v/>
      </c>
      <c r="R15" s="53">
        <f>IF(AND($H15="Yes",$N15="Active"),COUNTIFS($H$6:$H15,"Yes",$N$6:$N15,"Active"),"")</f>
        <v/>
      </c>
      <c r="W15" s="51" t="b">
        <v>0</v>
      </c>
    </row>
    <row r="16">
      <c r="A16" s="49">
        <f>IF(B16="","",ROW()-5)</f>
        <v/>
      </c>
      <c r="B16" s="49" t="n"/>
      <c r="C16" s="49" t="n"/>
      <c r="D16" s="49">
        <f>IF(B16="","",TRIM(B16&amp;" "&amp;C16))</f>
        <v/>
      </c>
      <c r="E16" s="49" t="n"/>
      <c r="F16" s="49" t="n"/>
      <c r="G16" s="49" t="n"/>
      <c r="H16" s="49" t="n"/>
      <c r="I16" s="49" t="n"/>
      <c r="J16" s="49" t="n"/>
      <c r="K16" s="49" t="n"/>
      <c r="L16" s="12" t="n"/>
      <c r="M16" s="12" t="n"/>
      <c r="N16" s="49" t="n"/>
      <c r="P16" s="53">
        <f>IF(AND($F16="Yes",$N16="Active"),COUNTIFS($F$6:$F16,"Yes",$N$6:$N16,"Active"),"")</f>
        <v/>
      </c>
      <c r="Q16" s="53">
        <f>IF(AND($G16="Yes",$N16="Active"),COUNTIFS($G$6:$G16,"Yes",$N$6:$N16,"Active"),"")</f>
        <v/>
      </c>
      <c r="R16" s="53">
        <f>IF(AND($H16="Yes",$N16="Active"),COUNTIFS($H$6:$H16,"Yes",$N$6:$N16,"Active"),"")</f>
        <v/>
      </c>
      <c r="W16" s="51" t="b">
        <v>0</v>
      </c>
    </row>
    <row r="17">
      <c r="A17" s="49">
        <f>IF(B17="","",ROW()-5)</f>
        <v/>
      </c>
      <c r="B17" s="49" t="n"/>
      <c r="C17" s="49" t="n"/>
      <c r="D17" s="49">
        <f>IF(B17="","",TRIM(B17&amp;" "&amp;C17))</f>
        <v/>
      </c>
      <c r="E17" s="49" t="n"/>
      <c r="F17" s="49" t="n"/>
      <c r="G17" s="49" t="n"/>
      <c r="H17" s="49" t="n"/>
      <c r="I17" s="49" t="n"/>
      <c r="J17" s="49" t="n"/>
      <c r="K17" s="49" t="n"/>
      <c r="L17" s="12" t="n"/>
      <c r="M17" s="12" t="n"/>
      <c r="N17" s="49" t="n"/>
      <c r="P17" s="53">
        <f>IF(AND($F17="Yes",$N17="Active"),COUNTIFS($F$6:$F17,"Yes",$N$6:$N17,"Active"),"")</f>
        <v/>
      </c>
      <c r="Q17" s="53">
        <f>IF(AND($G17="Yes",$N17="Active"),COUNTIFS($G$6:$G17,"Yes",$N$6:$N17,"Active"),"")</f>
        <v/>
      </c>
      <c r="R17" s="53">
        <f>IF(AND($H17="Yes",$N17="Active"),COUNTIFS($H$6:$H17,"Yes",$N$6:$N17,"Active"),"")</f>
        <v/>
      </c>
      <c r="W17" s="51" t="b">
        <v>0</v>
      </c>
    </row>
    <row r="18">
      <c r="A18" s="49">
        <f>IF(B18="","",ROW()-5)</f>
        <v/>
      </c>
      <c r="B18" s="49" t="n"/>
      <c r="C18" s="49" t="n"/>
      <c r="D18" s="49">
        <f>IF(B18="","",TRIM(B18&amp;" "&amp;C18))</f>
        <v/>
      </c>
      <c r="E18" s="49" t="n"/>
      <c r="F18" s="49" t="n"/>
      <c r="G18" s="49" t="n"/>
      <c r="H18" s="49" t="n"/>
      <c r="I18" s="49" t="n"/>
      <c r="J18" s="49" t="n"/>
      <c r="K18" s="49" t="n"/>
      <c r="L18" s="12" t="n"/>
      <c r="M18" s="12" t="n"/>
      <c r="N18" s="49" t="n"/>
      <c r="P18" s="53">
        <f>IF(AND($F18="Yes",$N18="Active"),COUNTIFS($F$6:$F18,"Yes",$N$6:$N18,"Active"),"")</f>
        <v/>
      </c>
      <c r="Q18" s="53">
        <f>IF(AND($G18="Yes",$N18="Active"),COUNTIFS($G$6:$G18,"Yes",$N$6:$N18,"Active"),"")</f>
        <v/>
      </c>
      <c r="R18" s="53">
        <f>IF(AND($H18="Yes",$N18="Active"),COUNTIFS($H$6:$H18,"Yes",$N$6:$N18,"Active"),"")</f>
        <v/>
      </c>
      <c r="W18" s="51" t="b">
        <v>0</v>
      </c>
    </row>
    <row r="19">
      <c r="A19" s="49">
        <f>IF(B19="","",ROW()-5)</f>
        <v/>
      </c>
      <c r="B19" s="49" t="n"/>
      <c r="C19" s="49" t="n"/>
      <c r="D19" s="49">
        <f>IF(B19="","",TRIM(B19&amp;" "&amp;C19))</f>
        <v/>
      </c>
      <c r="E19" s="49" t="n"/>
      <c r="F19" s="49" t="n"/>
      <c r="G19" s="49" t="n"/>
      <c r="H19" s="49" t="n"/>
      <c r="I19" s="49" t="n"/>
      <c r="J19" s="49" t="n"/>
      <c r="K19" s="49" t="n"/>
      <c r="L19" s="12" t="n"/>
      <c r="M19" s="12" t="n"/>
      <c r="N19" s="49" t="n"/>
      <c r="P19" s="53">
        <f>IF(AND($F19="Yes",$N19="Active"),COUNTIFS($F$6:$F19,"Yes",$N$6:$N19,"Active"),"")</f>
        <v/>
      </c>
      <c r="Q19" s="53">
        <f>IF(AND($G19="Yes",$N19="Active"),COUNTIFS($G$6:$G19,"Yes",$N$6:$N19,"Active"),"")</f>
        <v/>
      </c>
      <c r="R19" s="53">
        <f>IF(AND($H19="Yes",$N19="Active"),COUNTIFS($H$6:$H19,"Yes",$N$6:$N19,"Active"),"")</f>
        <v/>
      </c>
      <c r="W19" s="51" t="b">
        <v>0</v>
      </c>
    </row>
  </sheetData>
  <mergeCells count="3">
    <mergeCell ref="C4:F4"/>
    <mergeCell ref="A2:N2"/>
    <mergeCell ref="A1:N1"/>
  </mergeCells>
  <conditionalFormatting sqref="W6:W19">
    <cfRule type="expression" priority="1" dxfId="4">
      <formula>W6=TRUE</formula>
    </cfRule>
  </conditionalFormatting>
  <conditionalFormatting sqref="A6:N19">
    <cfRule type="expression" priority="2" dxfId="8">
      <formula>$N6="Inactive"</formula>
    </cfRule>
  </conditionalFormatting>
  <dataValidations count="5">
    <dataValidation sqref="B4" showDropDown="0" showInputMessage="0" showErrorMessage="0" allowBlank="0" type="list">
      <formula1>"TRUE,FALSE"</formula1>
    </dataValidation>
    <dataValidation sqref="W6:W19" showDropDown="0" showInputMessage="0" showErrorMessage="0" allowBlank="0" type="list">
      <formula1>"TRUE,FALSE"</formula1>
    </dataValidation>
    <dataValidation sqref="E6:E19" showDropDown="0" showInputMessage="0" showErrorMessage="0" allowBlank="1" type="list">
      <formula1>"Head Coach,Assistant Coach,Coach"</formula1>
    </dataValidation>
    <dataValidation sqref="F6:H19" showDropDown="0" showInputMessage="0" showErrorMessage="0" allowBlank="1" type="list">
      <formula1>"Yes,No"</formula1>
    </dataValidation>
    <dataValidation sqref="N6:N19" showDropDown="0" showInputMessage="0" showErrorMessage="0" allowBlank="1" type="list">
      <formula1>"Active,Inactive"</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B7B7B7"/>
    <outlinePr summaryBelow="1" summaryRight="1"/>
    <pageSetUpPr fitToPage="1"/>
  </sheetPr>
  <dimension ref="A1:J120"/>
  <sheetViews>
    <sheetView showGridLines="0" workbookViewId="0">
      <pane ySplit="5" topLeftCell="A6" activePane="bottomLeft" state="frozen"/>
      <selection pane="bottomLeft" activeCell="A1" sqref="A1"/>
    </sheetView>
  </sheetViews>
  <sheetFormatPr baseColWidth="8" defaultRowHeight="15"/>
  <cols>
    <col width="6" customWidth="1" min="1" max="1"/>
    <col width="15" customWidth="1" min="2" max="2"/>
    <col width="13" customWidth="1" min="3" max="3"/>
    <col width="22" customWidth="1" min="4" max="4"/>
    <col width="38" customWidth="1" min="5" max="5"/>
    <col width="18" customWidth="1" min="6" max="6"/>
    <col width="14" customWidth="1" min="7" max="7"/>
    <col width="22" customWidth="1" min="8" max="8"/>
    <col width="8" customWidth="1" min="9" max="9"/>
    <col width="10" customWidth="1" min="10" max="10"/>
  </cols>
  <sheetData>
    <row r="1" ht="30" customHeight="1">
      <c r="A1" s="21" t="inlineStr">
        <is>
          <t>Exercise Library</t>
        </is>
      </c>
    </row>
    <row r="2">
      <c r="A2" s="2" t="inlineStr">
        <is>
          <t>A growing catalog of workouts/blocks by type and tier. Log a Workout pulls from this list — add a new one any time by typing into a blank row below, works on a phone. Tap the checkbox in row 4 to jump to the next open row.</t>
        </is>
      </c>
    </row>
    <row r="3">
      <c r="A3" s="43" t="inlineStr">
        <is>
          <t>Counts (auto):</t>
        </is>
      </c>
      <c r="B3" s="44">
        <f>"Warm-up: "&amp;COUNTIF($B$6:$B$200,"Warm-up")</f>
        <v/>
      </c>
      <c r="D3" s="44">
        <f>"Power: "&amp;COUNTIF($B$6:$B$200,"Power")</f>
        <v/>
      </c>
      <c r="F3" s="44">
        <f>"Strength: "&amp;COUNTIF($B$6:$B$200,"Strength")</f>
        <v/>
      </c>
      <c r="H3" s="44">
        <f>"Total: "&amp;COUNTA($D$6:$D$200)</f>
        <v/>
      </c>
    </row>
    <row r="4">
      <c r="A4" s="22" t="inlineStr">
        <is>
          <t>New:</t>
        </is>
      </c>
      <c r="B4" s="23" t="b">
        <v>0</v>
      </c>
      <c r="C4" s="24" t="inlineStr">
        <is>
          <t>tap TRUE to jump to the next open row</t>
        </is>
      </c>
    </row>
    <row r="5" ht="30" customHeight="1">
      <c r="A5" s="9" t="inlineStr">
        <is>
          <t>ID</t>
        </is>
      </c>
      <c r="B5" s="9" t="inlineStr">
        <is>
          <t>Block Type</t>
        </is>
      </c>
      <c r="C5" s="9" t="inlineStr">
        <is>
          <t>Tier</t>
        </is>
      </c>
      <c r="D5" s="9" t="inlineStr">
        <is>
          <t>Workout / Exercise Name</t>
        </is>
      </c>
      <c r="E5" s="9" t="inlineStr">
        <is>
          <t>Description / Instructions</t>
        </is>
      </c>
      <c r="F5" s="9" t="inlineStr">
        <is>
          <t>Suggested Sets x Reps
/ Duration</t>
        </is>
      </c>
      <c r="G5" s="9" t="inlineStr">
        <is>
          <t>Equipment</t>
        </is>
      </c>
      <c r="H5" s="9" t="inlineStr">
        <is>
          <t>Notes / Source</t>
        </is>
      </c>
      <c r="I5" s="9" t="inlineStr">
        <is>
          <t>Times
Used</t>
        </is>
      </c>
      <c r="J5" s="9" t="inlineStr">
        <is>
          <t>⚠ Delete?</t>
        </is>
      </c>
    </row>
    <row r="6">
      <c r="A6" s="31">
        <f>IF(D6="","",ROW()-5)</f>
        <v/>
      </c>
      <c r="B6" s="32" t="inlineStr">
        <is>
          <t>Warm-up</t>
        </is>
      </c>
      <c r="C6" s="31" t="inlineStr">
        <is>
          <t>All Levels</t>
        </is>
      </c>
      <c r="D6" s="32" t="inlineStr">
        <is>
          <t>Full-Body Warm-Up</t>
        </is>
      </c>
      <c r="E6" s="32" t="inlineStr">
        <is>
          <t>General movement, light traverse, joint mobility.</t>
        </is>
      </c>
      <c r="F6" s="31" t="inlineStr">
        <is>
          <t>15-20 min</t>
        </is>
      </c>
      <c r="G6" s="32" t="inlineStr">
        <is>
          <t>None</t>
        </is>
      </c>
      <c r="H6" s="32" t="inlineStr">
        <is>
          <t>Standard opener, every practice</t>
        </is>
      </c>
      <c r="I6" s="31">
        <f>COUNTIF('Log a Workout'!$C$5:$C$200,D6)</f>
        <v/>
      </c>
      <c r="J6" s="51" t="b">
        <v>0</v>
      </c>
    </row>
    <row r="7">
      <c r="A7" s="31">
        <f>IF(D7="","",ROW()-5)</f>
        <v/>
      </c>
      <c r="B7" s="32" t="inlineStr">
        <is>
          <t>Warm-up</t>
        </is>
      </c>
      <c r="C7" s="31" t="inlineStr">
        <is>
          <t>All Levels</t>
        </is>
      </c>
      <c r="D7" s="32" t="inlineStr">
        <is>
          <t>Ladder Drill</t>
        </is>
      </c>
      <c r="E7" s="32" t="inlineStr">
        <is>
          <t>Ladder 5 down / 10 down evens as a warm-up movement drill.</t>
        </is>
      </c>
      <c r="F7" s="31" t="inlineStr">
        <is>
          <t>5-10 down per set</t>
        </is>
      </c>
      <c r="G7" s="32" t="inlineStr">
        <is>
          <t>Ladder wall/board</t>
        </is>
      </c>
      <c r="H7" s="32" t="inlineStr">
        <is>
          <t>From current plan</t>
        </is>
      </c>
      <c r="I7" s="31">
        <f>COUNTIF('Log a Workout'!$C$5:$C$200,D7)</f>
        <v/>
      </c>
      <c r="J7" s="51" t="b">
        <v>0</v>
      </c>
    </row>
    <row r="8">
      <c r="A8" s="31">
        <f>IF(D8="","",ROW()-5)</f>
        <v/>
      </c>
      <c r="B8" s="32" t="inlineStr">
        <is>
          <t>Power</t>
        </is>
      </c>
      <c r="C8" s="31" t="inlineStr">
        <is>
          <t>Advanced</t>
        </is>
      </c>
      <c r="D8" s="32" t="inlineStr">
        <is>
          <t>Campus Board Ladder</t>
        </is>
      </c>
      <c r="E8" s="32" t="inlineStr">
        <is>
          <t>Jump catches, 1-max, 1-minus-1/max, 1-8 fast, with box jumps between sets.</t>
        </is>
      </c>
      <c r="F8" s="31" t="inlineStr">
        <is>
          <t>Per current plan progression</t>
        </is>
      </c>
      <c r="G8" s="32" t="inlineStr">
        <is>
          <t>Campus board, plyo box</t>
        </is>
      </c>
      <c r="H8" s="32" t="inlineStr">
        <is>
          <t>From 9/15 plan</t>
        </is>
      </c>
      <c r="I8" s="31">
        <f>COUNTIF('Log a Workout'!$C$5:$C$200,D8)</f>
        <v/>
      </c>
      <c r="J8" s="51" t="b">
        <v>0</v>
      </c>
    </row>
    <row r="9">
      <c r="A9" s="31">
        <f>IF(D9="","",ROW()-5)</f>
        <v/>
      </c>
      <c r="B9" s="32" t="inlineStr">
        <is>
          <t>Power</t>
        </is>
      </c>
      <c r="C9" s="31" t="inlineStr">
        <is>
          <t>Advanced</t>
        </is>
      </c>
      <c r="D9" s="32" t="inlineStr">
        <is>
          <t>Boulder Eliminates</t>
        </is>
      </c>
      <c r="E9" s="32" t="inlineStr">
        <is>
          <t>Pick boulders just below flash limit; remove holds until moves no longer go.</t>
        </is>
      </c>
      <c r="F9" s="31" t="inlineStr">
        <is>
          <t>15 min max per boulder</t>
        </is>
      </c>
      <c r="G9" s="32" t="inlineStr">
        <is>
          <t>Bouldering wall</t>
        </is>
      </c>
      <c r="H9" s="32" t="inlineStr">
        <is>
          <t>From 9/14 plan</t>
        </is>
      </c>
      <c r="I9" s="31">
        <f>COUNTIF('Log a Workout'!$C$5:$C$200,D9)</f>
        <v/>
      </c>
      <c r="J9" s="51" t="b">
        <v>0</v>
      </c>
    </row>
    <row r="10">
      <c r="A10" s="31">
        <f>IF(D10="","",ROW()-5)</f>
        <v/>
      </c>
      <c r="B10" s="32" t="inlineStr">
        <is>
          <t>Power</t>
        </is>
      </c>
      <c r="C10" s="31" t="inlineStr">
        <is>
          <t>Advanced</t>
        </is>
      </c>
      <c r="D10" s="32" t="inlineStr">
        <is>
          <t>Above-Limit Bouldering</t>
        </is>
      </c>
      <c r="E10" s="32" t="inlineStr">
        <is>
          <t>Two groups, 30 min; try each boulder ~10 min (3 boulders total).</t>
        </is>
      </c>
      <c r="F10" s="31" t="inlineStr">
        <is>
          <t>30 min per group</t>
        </is>
      </c>
      <c r="G10" s="32" t="inlineStr">
        <is>
          <t>Bouldering wall</t>
        </is>
      </c>
      <c r="H10" s="32" t="inlineStr">
        <is>
          <t>From 8/31 plan</t>
        </is>
      </c>
      <c r="I10" s="31">
        <f>COUNTIF('Log a Workout'!$C$5:$C$200,D10)</f>
        <v/>
      </c>
      <c r="J10" s="51" t="b">
        <v>0</v>
      </c>
    </row>
    <row r="11">
      <c r="A11" s="31">
        <f>IF(D11="","",ROW()-5)</f>
        <v/>
      </c>
      <c r="B11" s="32" t="inlineStr">
        <is>
          <t>Power</t>
        </is>
      </c>
      <c r="C11" s="31" t="inlineStr">
        <is>
          <t>Intermediate</t>
        </is>
      </c>
      <c r="D11" s="32" t="inlineStr">
        <is>
          <t>3-Move Power Boulders (Partner)</t>
        </is>
      </c>
      <c r="E11" s="32" t="inlineStr">
        <is>
          <t>Two coordination boulders (one hand, one foot) + two power moves; try, switch roles, repeat.</t>
        </is>
      </c>
      <c r="F11" s="31" t="inlineStr">
        <is>
          <t>Per pair, rotate roles</t>
        </is>
      </c>
      <c r="G11" s="32" t="inlineStr">
        <is>
          <t>Bouldering wall</t>
        </is>
      </c>
      <c r="H11" s="32" t="inlineStr">
        <is>
          <t>From 9/8 plan</t>
        </is>
      </c>
      <c r="I11" s="31">
        <f>COUNTIF('Log a Workout'!$C$5:$C$200,D11)</f>
        <v/>
      </c>
      <c r="J11" s="51" t="b">
        <v>0</v>
      </c>
    </row>
    <row r="12">
      <c r="A12" s="31">
        <f>IF(D12="","",ROW()-5)</f>
        <v/>
      </c>
      <c r="B12" s="32" t="inlineStr">
        <is>
          <t>Power</t>
        </is>
      </c>
      <c r="C12" s="31" t="inlineStr">
        <is>
          <t>Developing</t>
        </is>
      </c>
      <c r="D12" s="32" t="inlineStr">
        <is>
          <t>3-Move Power Boulders (Partner) — Lite</t>
        </is>
      </c>
      <c r="E12" s="32" t="inlineStr">
        <is>
          <t>Same idea, lower intensity holds/angles, more coaching touch-points.</t>
        </is>
      </c>
      <c r="F12" s="31" t="inlineStr">
        <is>
          <t>Per pair, rotate roles</t>
        </is>
      </c>
      <c r="G12" s="32" t="inlineStr">
        <is>
          <t>Bouldering wall</t>
        </is>
      </c>
      <c r="H12" s="32" t="inlineStr">
        <is>
          <t>Adapted from Intermediate version</t>
        </is>
      </c>
      <c r="I12" s="31">
        <f>COUNTIF('Log a Workout'!$C$5:$C$200,D12)</f>
        <v/>
      </c>
      <c r="J12" s="51" t="b">
        <v>0</v>
      </c>
    </row>
    <row r="13">
      <c r="A13" s="31">
        <f>IF(D13="","",ROW()-5)</f>
        <v/>
      </c>
      <c r="B13" s="32" t="inlineStr">
        <is>
          <t>Strength</t>
        </is>
      </c>
      <c r="C13" s="31" t="inlineStr">
        <is>
          <t>Advanced</t>
        </is>
      </c>
      <c r="D13" s="32" t="inlineStr">
        <is>
          <t>One-Arm / Weighted Hangs</t>
        </is>
      </c>
      <c r="E13" s="32" t="inlineStr">
        <is>
          <t>Progressive hang protocol.</t>
        </is>
      </c>
      <c r="F13" s="31" t="inlineStr">
        <is>
          <t>6x3-5 sec</t>
        </is>
      </c>
      <c r="G13" s="32" t="inlineStr">
        <is>
          <t>Hangboard, weight belt</t>
        </is>
      </c>
      <c r="H13" s="32" t="inlineStr">
        <is>
          <t>From 9/1 plan</t>
        </is>
      </c>
      <c r="I13" s="31">
        <f>COUNTIF('Log a Workout'!$C$5:$C$200,D13)</f>
        <v/>
      </c>
      <c r="J13" s="51" t="b">
        <v>0</v>
      </c>
    </row>
    <row r="14">
      <c r="A14" s="31">
        <f>IF(D14="","",ROW()-5)</f>
        <v/>
      </c>
      <c r="B14" s="32" t="inlineStr">
        <is>
          <t>Strength</t>
        </is>
      </c>
      <c r="C14" s="31" t="inlineStr">
        <is>
          <t>Advanced</t>
        </is>
      </c>
      <c r="D14" s="32" t="inlineStr">
        <is>
          <t>Weighted Pull-Ups</t>
        </is>
      </c>
      <c r="E14" s="32" t="inlineStr"/>
      <c r="F14" s="31" t="inlineStr">
        <is>
          <t>4x4 reps</t>
        </is>
      </c>
      <c r="G14" s="32" t="inlineStr">
        <is>
          <t>Pull-up bar, weight belt</t>
        </is>
      </c>
      <c r="H14" s="32" t="inlineStr">
        <is>
          <t>From 9/1 plan</t>
        </is>
      </c>
      <c r="I14" s="31">
        <f>COUNTIF('Log a Workout'!$C$5:$C$200,D14)</f>
        <v/>
      </c>
      <c r="J14" s="51" t="b">
        <v>0</v>
      </c>
    </row>
    <row r="15">
      <c r="A15" s="31">
        <f>IF(D15="","",ROW()-5)</f>
        <v/>
      </c>
      <c r="B15" s="32" t="inlineStr">
        <is>
          <t>Strength</t>
        </is>
      </c>
      <c r="C15" s="31" t="inlineStr">
        <is>
          <t>Intermediate</t>
        </is>
      </c>
      <c r="D15" s="32" t="inlineStr">
        <is>
          <t>Cable Bench / Incline Press</t>
        </is>
      </c>
      <c r="E15" s="32" t="inlineStr"/>
      <c r="F15" s="31" t="inlineStr">
        <is>
          <t>3x6</t>
        </is>
      </c>
      <c r="G15" s="32" t="inlineStr">
        <is>
          <t>Cable machine</t>
        </is>
      </c>
      <c r="H15" s="32" t="inlineStr">
        <is>
          <t>From 9/1 plan</t>
        </is>
      </c>
      <c r="I15" s="31">
        <f>COUNTIF('Log a Workout'!$C$5:$C$200,D15)</f>
        <v/>
      </c>
      <c r="J15" s="51" t="b">
        <v>0</v>
      </c>
    </row>
    <row r="16">
      <c r="A16" s="31">
        <f>IF(D16="","",ROW()-5)</f>
        <v/>
      </c>
      <c r="B16" s="32" t="inlineStr">
        <is>
          <t>Strength</t>
        </is>
      </c>
      <c r="C16" s="31" t="inlineStr">
        <is>
          <t>Intermediate</t>
        </is>
      </c>
      <c r="D16" s="32" t="inlineStr">
        <is>
          <t>Box Jumps</t>
        </is>
      </c>
      <c r="E16" s="32" t="inlineStr"/>
      <c r="F16" s="31" t="inlineStr">
        <is>
          <t>3x3</t>
        </is>
      </c>
      <c r="G16" s="32" t="inlineStr">
        <is>
          <t>Plyo box</t>
        </is>
      </c>
      <c r="H16" s="32" t="inlineStr">
        <is>
          <t>From 9/1 plan</t>
        </is>
      </c>
      <c r="I16" s="31">
        <f>COUNTIF('Log a Workout'!$C$5:$C$200,D16)</f>
        <v/>
      </c>
      <c r="J16" s="51" t="b">
        <v>0</v>
      </c>
    </row>
    <row r="17">
      <c r="A17" s="31">
        <f>IF(D17="","",ROW()-5)</f>
        <v/>
      </c>
      <c r="B17" s="32" t="inlineStr">
        <is>
          <t>Technique/Skill</t>
        </is>
      </c>
      <c r="C17" s="31" t="inlineStr">
        <is>
          <t>Advanced</t>
        </is>
      </c>
      <c r="D17" s="32" t="inlineStr">
        <is>
          <t>Lock-Off Hover Drill (Overhang)</t>
        </is>
      </c>
      <c r="E17" s="32" t="inlineStr">
        <is>
          <t>Overhangs only, hold each position, stable body, not locked off. 10 boulders, 3 min rest between.</t>
        </is>
      </c>
      <c r="F17" s="31" t="inlineStr">
        <is>
          <t>10 boulders, 3 min rest</t>
        </is>
      </c>
      <c r="G17" s="32" t="inlineStr">
        <is>
          <t>Overhung terrain</t>
        </is>
      </c>
      <c r="H17" s="32" t="inlineStr">
        <is>
          <t>From 9/3 plan</t>
        </is>
      </c>
      <c r="I17" s="31">
        <f>COUNTIF('Log a Workout'!$C$5:$C$200,D17)</f>
        <v/>
      </c>
      <c r="J17" s="51" t="b">
        <v>0</v>
      </c>
    </row>
    <row r="18">
      <c r="A18" s="31">
        <f>IF(D18="","",ROW()-5)</f>
        <v/>
      </c>
      <c r="B18" s="32" t="inlineStr">
        <is>
          <t>Technique/Skill</t>
        </is>
      </c>
      <c r="C18" s="31" t="inlineStr">
        <is>
          <t>Advanced</t>
        </is>
      </c>
      <c r="D18" s="32" t="inlineStr">
        <is>
          <t>Foot Cut Drill</t>
        </is>
      </c>
      <c r="E18" s="32" t="inlineStr">
        <is>
          <t>Boulders ~1 grade below flash. Jump between moves, establish foot control on first swing in. Focus on accuracy and shoulder tension/control. Steep terrain only.</t>
        </is>
      </c>
      <c r="F18" s="31" t="inlineStr">
        <is>
          <t>6 boulders x2 sets, 3 min rest, 5 min between sets</t>
        </is>
      </c>
      <c r="G18" s="32" t="inlineStr">
        <is>
          <t>Steep bouldering terrain</t>
        </is>
      </c>
      <c r="H18" s="32" t="inlineStr">
        <is>
          <t>From 9/22 plan</t>
        </is>
      </c>
      <c r="I18" s="31">
        <f>COUNTIF('Log a Workout'!$C$5:$C$200,D18)</f>
        <v/>
      </c>
      <c r="J18" s="51" t="b">
        <v>0</v>
      </c>
    </row>
    <row r="19">
      <c r="A19" s="31">
        <f>IF(D19="","",ROW()-5)</f>
        <v/>
      </c>
      <c r="B19" s="32" t="inlineStr">
        <is>
          <t>Technique/Skill</t>
        </is>
      </c>
      <c r="C19" s="31" t="inlineStr">
        <is>
          <t>Intermediate</t>
        </is>
      </c>
      <c r="D19" s="32" t="inlineStr">
        <is>
          <t>Balance Work — Back Flags/Steps</t>
        </is>
      </c>
      <c r="E19" s="32" t="inlineStr">
        <is>
          <t>Back flags only, back steps only, open-hip squats only; off foot engaged every rep.</t>
        </is>
      </c>
      <c r="F19" s="31" t="inlineStr">
        <is>
          <t>5 boulders per constraint</t>
        </is>
      </c>
      <c r="G19" s="32" t="inlineStr">
        <is>
          <t>Bouldering wall</t>
        </is>
      </c>
      <c r="H19" s="32" t="inlineStr">
        <is>
          <t>From 9/8 plan</t>
        </is>
      </c>
      <c r="I19" s="31">
        <f>COUNTIF('Log a Workout'!$C$5:$C$200,D19)</f>
        <v/>
      </c>
      <c r="J19" s="51" t="b">
        <v>0</v>
      </c>
    </row>
    <row r="20">
      <c r="A20" s="31">
        <f>IF(D20="","",ROW()-5)</f>
        <v/>
      </c>
      <c r="B20" s="32" t="inlineStr">
        <is>
          <t>Technique/Skill</t>
        </is>
      </c>
      <c r="C20" s="31" t="inlineStr">
        <is>
          <t>Developing</t>
        </is>
      </c>
      <c r="D20" s="32" t="inlineStr">
        <is>
          <t>Open-Feet Technique Circuit</t>
        </is>
      </c>
      <c r="E20" s="32" t="inlineStr">
        <is>
          <t>Heel hooks only, drop knees only, back-steps only (with smear off foot) — 3 boulders each.</t>
        </is>
      </c>
      <c r="F20" s="31" t="inlineStr">
        <is>
          <t>3 boulders per constraint</t>
        </is>
      </c>
      <c r="G20" s="32" t="inlineStr">
        <is>
          <t>Bouldering wall</t>
        </is>
      </c>
      <c r="H20" s="32" t="inlineStr">
        <is>
          <t>From 9/8 plan (younger group)</t>
        </is>
      </c>
      <c r="I20" s="31">
        <f>COUNTIF('Log a Workout'!$C$5:$C$200,D20)</f>
        <v/>
      </c>
      <c r="J20" s="51" t="b">
        <v>0</v>
      </c>
    </row>
    <row r="21">
      <c r="A21" s="31">
        <f>IF(D21="","",ROW()-5)</f>
        <v/>
      </c>
      <c r="B21" s="32" t="inlineStr">
        <is>
          <t>Coordination/Balance</t>
        </is>
      </c>
      <c r="C21" s="31" t="inlineStr">
        <is>
          <t>Developing</t>
        </is>
      </c>
      <c r="D21" s="32" t="inlineStr">
        <is>
          <t>Coordination/Power/Balance Skills L1-4</t>
        </is>
      </c>
      <c r="E21" s="32" t="inlineStr">
        <is>
          <t>One at a time, 1 min max, 2 attempts max per skill.</t>
        </is>
      </c>
      <c r="F21" s="31" t="inlineStr">
        <is>
          <t>1 min max, 2 attempts</t>
        </is>
      </c>
      <c r="G21" s="32" t="inlineStr">
        <is>
          <t>Spray wall / moon board</t>
        </is>
      </c>
      <c r="H21" s="32" t="inlineStr">
        <is>
          <t>From 9/3 plan</t>
        </is>
      </c>
      <c r="I21" s="31">
        <f>COUNTIF('Log a Workout'!$C$5:$C$200,D21)</f>
        <v/>
      </c>
      <c r="J21" s="51" t="b">
        <v>0</v>
      </c>
    </row>
    <row r="22">
      <c r="A22" s="31">
        <f>IF(D22="","",ROW()-5)</f>
        <v/>
      </c>
      <c r="B22" s="32" t="inlineStr">
        <is>
          <t>Coordination/Balance</t>
        </is>
      </c>
      <c r="C22" s="31" t="inlineStr">
        <is>
          <t>Developing</t>
        </is>
      </c>
      <c r="D22" s="32" t="inlineStr">
        <is>
          <t>Sloth Climbing Drill</t>
        </is>
      </c>
      <c r="E22" s="32" t="inlineStr">
        <is>
          <t>Move upward slowly with both hands and feet; focus on control and foot placement accuracy.</t>
        </is>
      </c>
      <c r="F22" s="31" t="inlineStr">
        <is>
          <t>Full wall, slow pace</t>
        </is>
      </c>
      <c r="G22" s="32" t="inlineStr">
        <is>
          <t>Any wall</t>
        </is>
      </c>
      <c r="H22" s="32" t="inlineStr">
        <is>
          <t>From 9/22 plan (younger group)</t>
        </is>
      </c>
      <c r="I22" s="31">
        <f>COUNTIF('Log a Workout'!$C$5:$C$200,D22)</f>
        <v/>
      </c>
      <c r="J22" s="51" t="b">
        <v>0</v>
      </c>
    </row>
    <row r="23">
      <c r="A23" s="31">
        <f>IF(D23="","",ROW()-5)</f>
        <v/>
      </c>
      <c r="B23" s="32" t="inlineStr">
        <is>
          <t>Coordination/Balance</t>
        </is>
      </c>
      <c r="C23" s="31" t="inlineStr">
        <is>
          <t>All Levels</t>
        </is>
      </c>
      <c r="D23" s="32" t="inlineStr">
        <is>
          <t>Boulder Golf</t>
        </is>
      </c>
      <c r="E23" s="32" t="inlineStr">
        <is>
          <t>Golf-style scoring across boulders in groups; 1 v-up per point after each boulder.</t>
        </is>
      </c>
      <c r="F23" s="31" t="inlineStr">
        <is>
          <t>Per group rotation</t>
        </is>
      </c>
      <c r="G23" s="32" t="inlineStr">
        <is>
          <t>Bouldering wall</t>
        </is>
      </c>
      <c r="H23" s="32" t="inlineStr">
        <is>
          <t>From 9/10 plan — good for confidence/fun</t>
        </is>
      </c>
      <c r="I23" s="31">
        <f>COUNTIF('Log a Workout'!$C$5:$C$200,D23)</f>
        <v/>
      </c>
      <c r="J23" s="51" t="b">
        <v>0</v>
      </c>
    </row>
    <row r="24">
      <c r="A24" s="31">
        <f>IF(D24="","",ROW()-5)</f>
        <v/>
      </c>
      <c r="B24" s="32" t="inlineStr">
        <is>
          <t>Core</t>
        </is>
      </c>
      <c r="C24" s="31" t="inlineStr">
        <is>
          <t>All Levels</t>
        </is>
      </c>
      <c r="D24" s="32" t="inlineStr">
        <is>
          <t>Hanging Core Circuit</t>
        </is>
      </c>
      <c r="E24" s="32" t="inlineStr">
        <is>
          <t>4 sets, 4 exercises.</t>
        </is>
      </c>
      <c r="F24" s="31" t="inlineStr">
        <is>
          <t>4x4 exercises</t>
        </is>
      </c>
      <c r="G24" s="32" t="inlineStr">
        <is>
          <t>Pull-up bar / hangboard</t>
        </is>
      </c>
      <c r="H24" s="32" t="inlineStr">
        <is>
          <t>Standard closer</t>
        </is>
      </c>
      <c r="I24" s="31">
        <f>COUNTIF('Log a Workout'!$C$5:$C$200,D24)</f>
        <v/>
      </c>
      <c r="J24" s="51" t="b">
        <v>0</v>
      </c>
    </row>
    <row r="25">
      <c r="A25" s="31">
        <f>IF(D25="","",ROW()-5)</f>
        <v/>
      </c>
      <c r="B25" s="32" t="inlineStr">
        <is>
          <t>Core</t>
        </is>
      </c>
      <c r="C25" s="31" t="inlineStr">
        <is>
          <t>All Levels</t>
        </is>
      </c>
      <c r="D25" s="32" t="inlineStr">
        <is>
          <t>Floor Core + Stretch</t>
        </is>
      </c>
      <c r="E25" s="32" t="inlineStr">
        <is>
          <t>10 min floor core circuit followed by team stretch.</t>
        </is>
      </c>
      <c r="F25" s="31" t="inlineStr">
        <is>
          <t>10 min</t>
        </is>
      </c>
      <c r="G25" s="32" t="inlineStr">
        <is>
          <t>Mats</t>
        </is>
      </c>
      <c r="H25" s="32" t="inlineStr">
        <is>
          <t>Standard closer</t>
        </is>
      </c>
      <c r="I25" s="31">
        <f>COUNTIF('Log a Workout'!$C$5:$C$200,D25)</f>
        <v/>
      </c>
      <c r="J25" s="51" t="b">
        <v>0</v>
      </c>
    </row>
    <row r="26">
      <c r="A26" s="31">
        <f>IF(D26="","",ROW()-5)</f>
        <v/>
      </c>
      <c r="B26" s="32" t="inlineStr">
        <is>
          <t>Stretch/Cooldown</t>
        </is>
      </c>
      <c r="C26" s="31" t="inlineStr">
        <is>
          <t>All Levels</t>
        </is>
      </c>
      <c r="D26" s="32" t="inlineStr">
        <is>
          <t>Team Stretch</t>
        </is>
      </c>
      <c r="E26" s="32" t="inlineStr">
        <is>
          <t>Full-body static stretch, cool down.</t>
        </is>
      </c>
      <c r="F26" s="31" t="inlineStr">
        <is>
          <t>10-15 min</t>
        </is>
      </c>
      <c r="G26" s="32" t="inlineStr">
        <is>
          <t>Mats</t>
        </is>
      </c>
      <c r="H26" s="32" t="inlineStr">
        <is>
          <t>Standard closer</t>
        </is>
      </c>
      <c r="I26" s="31">
        <f>COUNTIF('Log a Workout'!$C$5:$C$200,D26)</f>
        <v/>
      </c>
      <c r="J26" s="51" t="b">
        <v>0</v>
      </c>
    </row>
    <row r="27">
      <c r="A27" s="31">
        <f>IF(D27="","",ROW()-5)</f>
        <v/>
      </c>
      <c r="B27" s="32" t="n"/>
      <c r="C27" s="31" t="n"/>
      <c r="D27" s="32" t="n"/>
      <c r="E27" s="32" t="n"/>
      <c r="F27" s="31" t="n"/>
      <c r="G27" s="32" t="n"/>
      <c r="H27" s="32" t="n"/>
      <c r="I27" s="31">
        <f>IF(D27="","",COUNTIF('Log a Workout'!$C$5:$C$200,D27))</f>
        <v/>
      </c>
      <c r="J27" s="51" t="b">
        <v>0</v>
      </c>
    </row>
    <row r="28">
      <c r="A28" s="31">
        <f>IF(D28="","",ROW()-5)</f>
        <v/>
      </c>
      <c r="B28" s="32" t="n"/>
      <c r="C28" s="31" t="n"/>
      <c r="D28" s="32" t="n"/>
      <c r="E28" s="32" t="n"/>
      <c r="F28" s="31" t="n"/>
      <c r="G28" s="32" t="n"/>
      <c r="H28" s="32" t="n"/>
      <c r="I28" s="31">
        <f>IF(D28="","",COUNTIF('Log a Workout'!$C$5:$C$200,D28))</f>
        <v/>
      </c>
      <c r="J28" s="51" t="b">
        <v>0</v>
      </c>
    </row>
    <row r="29">
      <c r="A29" s="31">
        <f>IF(D29="","",ROW()-5)</f>
        <v/>
      </c>
      <c r="B29" s="32" t="n"/>
      <c r="C29" s="31" t="n"/>
      <c r="D29" s="32" t="n"/>
      <c r="E29" s="32" t="n"/>
      <c r="F29" s="31" t="n"/>
      <c r="G29" s="32" t="n"/>
      <c r="H29" s="32" t="n"/>
      <c r="I29" s="31">
        <f>IF(D29="","",COUNTIF('Log a Workout'!$C$5:$C$200,D29))</f>
        <v/>
      </c>
      <c r="J29" s="51" t="b">
        <v>0</v>
      </c>
    </row>
    <row r="30">
      <c r="A30" s="31">
        <f>IF(D30="","",ROW()-5)</f>
        <v/>
      </c>
      <c r="B30" s="32" t="n"/>
      <c r="C30" s="31" t="n"/>
      <c r="D30" s="32" t="n"/>
      <c r="E30" s="32" t="n"/>
      <c r="F30" s="31" t="n"/>
      <c r="G30" s="32" t="n"/>
      <c r="H30" s="32" t="n"/>
      <c r="I30" s="31">
        <f>IF(D30="","",COUNTIF('Log a Workout'!$C$5:$C$200,D30))</f>
        <v/>
      </c>
      <c r="J30" s="51" t="b">
        <v>0</v>
      </c>
    </row>
    <row r="31">
      <c r="A31" s="31">
        <f>IF(D31="","",ROW()-5)</f>
        <v/>
      </c>
      <c r="B31" s="32" t="n"/>
      <c r="C31" s="31" t="n"/>
      <c r="D31" s="32" t="n"/>
      <c r="E31" s="32" t="n"/>
      <c r="F31" s="31" t="n"/>
      <c r="G31" s="32" t="n"/>
      <c r="H31" s="32" t="n"/>
      <c r="I31" s="31">
        <f>IF(D31="","",COUNTIF('Log a Workout'!$C$5:$C$200,D31))</f>
        <v/>
      </c>
      <c r="J31" s="51" t="b">
        <v>0</v>
      </c>
    </row>
    <row r="32">
      <c r="A32" s="31">
        <f>IF(D32="","",ROW()-5)</f>
        <v/>
      </c>
      <c r="B32" s="32" t="n"/>
      <c r="C32" s="31" t="n"/>
      <c r="D32" s="32" t="n"/>
      <c r="E32" s="32" t="n"/>
      <c r="F32" s="31" t="n"/>
      <c r="G32" s="32" t="n"/>
      <c r="H32" s="32" t="n"/>
      <c r="I32" s="31">
        <f>IF(D32="","",COUNTIF('Log a Workout'!$C$5:$C$200,D32))</f>
        <v/>
      </c>
      <c r="J32" s="51" t="b">
        <v>0</v>
      </c>
    </row>
    <row r="33">
      <c r="A33" s="31">
        <f>IF(D33="","",ROW()-5)</f>
        <v/>
      </c>
      <c r="B33" s="32" t="n"/>
      <c r="C33" s="31" t="n"/>
      <c r="D33" s="32" t="n"/>
      <c r="E33" s="32" t="n"/>
      <c r="F33" s="31" t="n"/>
      <c r="G33" s="32" t="n"/>
      <c r="H33" s="32" t="n"/>
      <c r="I33" s="31">
        <f>IF(D33="","",COUNTIF('Log a Workout'!$C$5:$C$200,D33))</f>
        <v/>
      </c>
      <c r="J33" s="51" t="b">
        <v>0</v>
      </c>
    </row>
    <row r="34">
      <c r="A34" s="31">
        <f>IF(D34="","",ROW()-5)</f>
        <v/>
      </c>
      <c r="B34" s="32" t="n"/>
      <c r="C34" s="31" t="n"/>
      <c r="D34" s="32" t="n"/>
      <c r="E34" s="32" t="n"/>
      <c r="F34" s="31" t="n"/>
      <c r="G34" s="32" t="n"/>
      <c r="H34" s="32" t="n"/>
      <c r="I34" s="31">
        <f>IF(D34="","",COUNTIF('Log a Workout'!$C$5:$C$200,D34))</f>
        <v/>
      </c>
      <c r="J34" s="51" t="b">
        <v>0</v>
      </c>
    </row>
    <row r="35">
      <c r="A35" s="31">
        <f>IF(D35="","",ROW()-5)</f>
        <v/>
      </c>
      <c r="B35" s="32" t="n"/>
      <c r="C35" s="31" t="n"/>
      <c r="D35" s="32" t="n"/>
      <c r="E35" s="32" t="n"/>
      <c r="F35" s="31" t="n"/>
      <c r="G35" s="32" t="n"/>
      <c r="H35" s="32" t="n"/>
      <c r="I35" s="31">
        <f>IF(D35="","",COUNTIF('Log a Workout'!$C$5:$C$200,D35))</f>
        <v/>
      </c>
      <c r="J35" s="51" t="b">
        <v>0</v>
      </c>
    </row>
    <row r="36">
      <c r="A36" s="31">
        <f>IF(D36="","",ROW()-5)</f>
        <v/>
      </c>
      <c r="B36" s="32" t="n"/>
      <c r="C36" s="31" t="n"/>
      <c r="D36" s="32" t="n"/>
      <c r="E36" s="32" t="n"/>
      <c r="F36" s="31" t="n"/>
      <c r="G36" s="32" t="n"/>
      <c r="H36" s="32" t="n"/>
      <c r="I36" s="31">
        <f>IF(D36="","",COUNTIF('Log a Workout'!$C$5:$C$200,D36))</f>
        <v/>
      </c>
      <c r="J36" s="51" t="b">
        <v>0</v>
      </c>
    </row>
    <row r="37">
      <c r="A37" s="31">
        <f>IF(D37="","",ROW()-5)</f>
        <v/>
      </c>
      <c r="B37" s="32" t="n"/>
      <c r="C37" s="31" t="n"/>
      <c r="D37" s="32" t="n"/>
      <c r="E37" s="32" t="n"/>
      <c r="F37" s="31" t="n"/>
      <c r="G37" s="32" t="n"/>
      <c r="H37" s="32" t="n"/>
      <c r="I37" s="31">
        <f>IF(D37="","",COUNTIF('Log a Workout'!$C$5:$C$200,D37))</f>
        <v/>
      </c>
      <c r="J37" s="51" t="b">
        <v>0</v>
      </c>
    </row>
    <row r="38">
      <c r="A38" s="31">
        <f>IF(D38="","",ROW()-5)</f>
        <v/>
      </c>
      <c r="B38" s="32" t="n"/>
      <c r="C38" s="31" t="n"/>
      <c r="D38" s="32" t="n"/>
      <c r="E38" s="32" t="n"/>
      <c r="F38" s="31" t="n"/>
      <c r="G38" s="32" t="n"/>
      <c r="H38" s="32" t="n"/>
      <c r="I38" s="31">
        <f>IF(D38="","",COUNTIF('Log a Workout'!$C$5:$C$200,D38))</f>
        <v/>
      </c>
      <c r="J38" s="51" t="b">
        <v>0</v>
      </c>
    </row>
    <row r="39">
      <c r="A39" s="31">
        <f>IF(D39="","",ROW()-5)</f>
        <v/>
      </c>
      <c r="B39" s="32" t="n"/>
      <c r="C39" s="31" t="n"/>
      <c r="D39" s="32" t="n"/>
      <c r="E39" s="32" t="n"/>
      <c r="F39" s="31" t="n"/>
      <c r="G39" s="32" t="n"/>
      <c r="H39" s="32" t="n"/>
      <c r="I39" s="31">
        <f>IF(D39="","",COUNTIF('Log a Workout'!$C$5:$C$200,D39))</f>
        <v/>
      </c>
      <c r="J39" s="51" t="b">
        <v>0</v>
      </c>
    </row>
    <row r="40">
      <c r="A40" s="31">
        <f>IF(D40="","",ROW()-5)</f>
        <v/>
      </c>
      <c r="B40" s="32" t="n"/>
      <c r="C40" s="31" t="n"/>
      <c r="D40" s="32" t="n"/>
      <c r="E40" s="32" t="n"/>
      <c r="F40" s="31" t="n"/>
      <c r="G40" s="32" t="n"/>
      <c r="H40" s="32" t="n"/>
      <c r="I40" s="31">
        <f>IF(D40="","",COUNTIF('Log a Workout'!$C$5:$C$200,D40))</f>
        <v/>
      </c>
      <c r="J40" s="51" t="b">
        <v>0</v>
      </c>
    </row>
    <row r="41">
      <c r="A41" s="31">
        <f>IF(D41="","",ROW()-5)</f>
        <v/>
      </c>
      <c r="B41" s="32" t="n"/>
      <c r="C41" s="31" t="n"/>
      <c r="D41" s="32" t="n"/>
      <c r="E41" s="32" t="n"/>
      <c r="F41" s="31" t="n"/>
      <c r="G41" s="32" t="n"/>
      <c r="H41" s="32" t="n"/>
      <c r="I41" s="31">
        <f>IF(D41="","",COUNTIF('Log a Workout'!$C$5:$C$200,D41))</f>
        <v/>
      </c>
      <c r="J41" s="51" t="b">
        <v>0</v>
      </c>
    </row>
    <row r="42">
      <c r="A42" s="31">
        <f>IF(D42="","",ROW()-5)</f>
        <v/>
      </c>
      <c r="B42" s="32" t="n"/>
      <c r="C42" s="31" t="n"/>
      <c r="D42" s="32" t="n"/>
      <c r="E42" s="32" t="n"/>
      <c r="F42" s="31" t="n"/>
      <c r="G42" s="32" t="n"/>
      <c r="H42" s="32" t="n"/>
      <c r="I42" s="31">
        <f>IF(D42="","",COUNTIF('Log a Workout'!$C$5:$C$200,D42))</f>
        <v/>
      </c>
      <c r="J42" s="51" t="b">
        <v>0</v>
      </c>
    </row>
    <row r="43">
      <c r="A43" s="31">
        <f>IF(D43="","",ROW()-5)</f>
        <v/>
      </c>
      <c r="B43" s="32" t="n"/>
      <c r="C43" s="31" t="n"/>
      <c r="D43" s="32" t="n"/>
      <c r="E43" s="32" t="n"/>
      <c r="F43" s="31" t="n"/>
      <c r="G43" s="32" t="n"/>
      <c r="H43" s="32" t="n"/>
      <c r="I43" s="31">
        <f>IF(D43="","",COUNTIF('Log a Workout'!$C$5:$C$200,D43))</f>
        <v/>
      </c>
      <c r="J43" s="51" t="b">
        <v>0</v>
      </c>
    </row>
    <row r="44">
      <c r="A44" s="31">
        <f>IF(D44="","",ROW()-5)</f>
        <v/>
      </c>
      <c r="B44" s="32" t="n"/>
      <c r="C44" s="31" t="n"/>
      <c r="D44" s="32" t="n"/>
      <c r="E44" s="32" t="n"/>
      <c r="F44" s="31" t="n"/>
      <c r="G44" s="32" t="n"/>
      <c r="H44" s="32" t="n"/>
      <c r="I44" s="31">
        <f>IF(D44="","",COUNTIF('Log a Workout'!$C$5:$C$200,D44))</f>
        <v/>
      </c>
      <c r="J44" s="51" t="b">
        <v>0</v>
      </c>
    </row>
    <row r="45">
      <c r="A45" s="31">
        <f>IF(D45="","",ROW()-5)</f>
        <v/>
      </c>
      <c r="B45" s="32" t="n"/>
      <c r="C45" s="31" t="n"/>
      <c r="D45" s="32" t="n"/>
      <c r="E45" s="32" t="n"/>
      <c r="F45" s="31" t="n"/>
      <c r="G45" s="32" t="n"/>
      <c r="H45" s="32" t="n"/>
      <c r="I45" s="31">
        <f>IF(D45="","",COUNTIF('Log a Workout'!$C$5:$C$200,D45))</f>
        <v/>
      </c>
      <c r="J45" s="51" t="b">
        <v>0</v>
      </c>
    </row>
    <row r="46">
      <c r="A46" s="31">
        <f>IF(D46="","",ROW()-5)</f>
        <v/>
      </c>
      <c r="B46" s="32" t="n"/>
      <c r="C46" s="31" t="n"/>
      <c r="D46" s="32" t="n"/>
      <c r="E46" s="32" t="n"/>
      <c r="F46" s="31" t="n"/>
      <c r="G46" s="32" t="n"/>
      <c r="H46" s="32" t="n"/>
      <c r="I46" s="31">
        <f>IF(D46="","",COUNTIF('Log a Workout'!$C$5:$C$200,D46))</f>
        <v/>
      </c>
      <c r="J46" s="51" t="b">
        <v>0</v>
      </c>
    </row>
    <row r="47">
      <c r="A47" s="31">
        <f>IF(D47="","",ROW()-5)</f>
        <v/>
      </c>
      <c r="B47" s="32" t="n"/>
      <c r="C47" s="31" t="n"/>
      <c r="D47" s="32" t="n"/>
      <c r="E47" s="32" t="n"/>
      <c r="F47" s="31" t="n"/>
      <c r="G47" s="32" t="n"/>
      <c r="H47" s="32" t="n"/>
      <c r="I47" s="31">
        <f>IF(D47="","",COUNTIF('Log a Workout'!$C$5:$C$200,D47))</f>
        <v/>
      </c>
      <c r="J47" s="51" t="b">
        <v>0</v>
      </c>
    </row>
    <row r="48">
      <c r="A48" s="31">
        <f>IF(D48="","",ROW()-5)</f>
        <v/>
      </c>
      <c r="B48" s="32" t="n"/>
      <c r="C48" s="31" t="n"/>
      <c r="D48" s="32" t="n"/>
      <c r="E48" s="32" t="n"/>
      <c r="F48" s="31" t="n"/>
      <c r="G48" s="32" t="n"/>
      <c r="H48" s="32" t="n"/>
      <c r="I48" s="31">
        <f>IF(D48="","",COUNTIF('Log a Workout'!$C$5:$C$200,D48))</f>
        <v/>
      </c>
      <c r="J48" s="51" t="b">
        <v>0</v>
      </c>
    </row>
    <row r="49">
      <c r="A49" s="31">
        <f>IF(D49="","",ROW()-5)</f>
        <v/>
      </c>
      <c r="B49" s="32" t="n"/>
      <c r="C49" s="31" t="n"/>
      <c r="D49" s="32" t="n"/>
      <c r="E49" s="32" t="n"/>
      <c r="F49" s="31" t="n"/>
      <c r="G49" s="32" t="n"/>
      <c r="H49" s="32" t="n"/>
      <c r="I49" s="31">
        <f>IF(D49="","",COUNTIF('Log a Workout'!$C$5:$C$200,D49))</f>
        <v/>
      </c>
      <c r="J49" s="51" t="b">
        <v>0</v>
      </c>
    </row>
    <row r="50">
      <c r="A50" s="31">
        <f>IF(D50="","",ROW()-5)</f>
        <v/>
      </c>
      <c r="B50" s="32" t="n"/>
      <c r="C50" s="31" t="n"/>
      <c r="D50" s="32" t="n"/>
      <c r="E50" s="32" t="n"/>
      <c r="F50" s="31" t="n"/>
      <c r="G50" s="32" t="n"/>
      <c r="H50" s="32" t="n"/>
      <c r="I50" s="31">
        <f>IF(D50="","",COUNTIF('Log a Workout'!$C$5:$C$200,D50))</f>
        <v/>
      </c>
      <c r="J50" s="51" t="b">
        <v>0</v>
      </c>
    </row>
    <row r="51">
      <c r="A51" s="31">
        <f>IF(D51="","",ROW()-5)</f>
        <v/>
      </c>
      <c r="B51" s="32" t="n"/>
      <c r="C51" s="31" t="n"/>
      <c r="D51" s="32" t="n"/>
      <c r="E51" s="32" t="n"/>
      <c r="F51" s="31" t="n"/>
      <c r="G51" s="32" t="n"/>
      <c r="H51" s="32" t="n"/>
      <c r="I51" s="31">
        <f>IF(D51="","",COUNTIF('Log a Workout'!$C$5:$C$200,D51))</f>
        <v/>
      </c>
      <c r="J51" s="51" t="b">
        <v>0</v>
      </c>
    </row>
    <row r="52">
      <c r="A52" s="31">
        <f>IF(D52="","",ROW()-5)</f>
        <v/>
      </c>
      <c r="B52" s="32" t="n"/>
      <c r="C52" s="31" t="n"/>
      <c r="D52" s="32" t="n"/>
      <c r="E52" s="32" t="n"/>
      <c r="F52" s="31" t="n"/>
      <c r="G52" s="32" t="n"/>
      <c r="H52" s="32" t="n"/>
      <c r="I52" s="31">
        <f>IF(D52="","",COUNTIF('Log a Workout'!$C$5:$C$200,D52))</f>
        <v/>
      </c>
      <c r="J52" s="51" t="b">
        <v>0</v>
      </c>
    </row>
    <row r="53">
      <c r="A53" s="31">
        <f>IF(D53="","",ROW()-5)</f>
        <v/>
      </c>
      <c r="B53" s="32" t="n"/>
      <c r="C53" s="31" t="n"/>
      <c r="D53" s="32" t="n"/>
      <c r="E53" s="32" t="n"/>
      <c r="F53" s="31" t="n"/>
      <c r="G53" s="32" t="n"/>
      <c r="H53" s="32" t="n"/>
      <c r="I53" s="31">
        <f>IF(D53="","",COUNTIF('Log a Workout'!$C$5:$C$200,D53))</f>
        <v/>
      </c>
      <c r="J53" s="51" t="b">
        <v>0</v>
      </c>
    </row>
    <row r="54">
      <c r="A54" s="31">
        <f>IF(D54="","",ROW()-5)</f>
        <v/>
      </c>
      <c r="B54" s="32" t="n"/>
      <c r="C54" s="31" t="n"/>
      <c r="D54" s="32" t="n"/>
      <c r="E54" s="32" t="n"/>
      <c r="F54" s="31" t="n"/>
      <c r="G54" s="32" t="n"/>
      <c r="H54" s="32" t="n"/>
      <c r="I54" s="31">
        <f>IF(D54="","",COUNTIF('Log a Workout'!$C$5:$C$200,D54))</f>
        <v/>
      </c>
      <c r="J54" s="51" t="b">
        <v>0</v>
      </c>
    </row>
    <row r="55">
      <c r="A55" s="31">
        <f>IF(D55="","",ROW()-5)</f>
        <v/>
      </c>
      <c r="B55" s="32" t="n"/>
      <c r="C55" s="31" t="n"/>
      <c r="D55" s="32" t="n"/>
      <c r="E55" s="32" t="n"/>
      <c r="F55" s="31" t="n"/>
      <c r="G55" s="32" t="n"/>
      <c r="H55" s="32" t="n"/>
      <c r="I55" s="31">
        <f>IF(D55="","",COUNTIF('Log a Workout'!$C$5:$C$200,D55))</f>
        <v/>
      </c>
      <c r="J55" s="51" t="b">
        <v>0</v>
      </c>
    </row>
    <row r="56">
      <c r="A56" s="31">
        <f>IF(D56="","",ROW()-5)</f>
        <v/>
      </c>
      <c r="B56" s="32" t="n"/>
      <c r="C56" s="31" t="n"/>
      <c r="D56" s="32" t="n"/>
      <c r="E56" s="32" t="n"/>
      <c r="F56" s="31" t="n"/>
      <c r="G56" s="32" t="n"/>
      <c r="H56" s="32" t="n"/>
      <c r="I56" s="31">
        <f>IF(D56="","",COUNTIF('Log a Workout'!$C$5:$C$200,D56))</f>
        <v/>
      </c>
      <c r="J56" s="51" t="b">
        <v>0</v>
      </c>
    </row>
    <row r="57">
      <c r="A57" s="31">
        <f>IF(D57="","",ROW()-5)</f>
        <v/>
      </c>
      <c r="B57" s="32" t="n"/>
      <c r="C57" s="31" t="n"/>
      <c r="D57" s="32" t="n"/>
      <c r="E57" s="32" t="n"/>
      <c r="F57" s="31" t="n"/>
      <c r="G57" s="32" t="n"/>
      <c r="H57" s="32" t="n"/>
      <c r="I57" s="31">
        <f>IF(D57="","",COUNTIF('Log a Workout'!$C$5:$C$200,D57))</f>
        <v/>
      </c>
      <c r="J57" s="51" t="b">
        <v>0</v>
      </c>
    </row>
    <row r="58">
      <c r="A58" s="31">
        <f>IF(D58="","",ROW()-5)</f>
        <v/>
      </c>
      <c r="B58" s="32" t="n"/>
      <c r="C58" s="31" t="n"/>
      <c r="D58" s="32" t="n"/>
      <c r="E58" s="32" t="n"/>
      <c r="F58" s="31" t="n"/>
      <c r="G58" s="32" t="n"/>
      <c r="H58" s="32" t="n"/>
      <c r="I58" s="31">
        <f>IF(D58="","",COUNTIF('Log a Workout'!$C$5:$C$200,D58))</f>
        <v/>
      </c>
      <c r="J58" s="51" t="b">
        <v>0</v>
      </c>
    </row>
    <row r="59">
      <c r="A59" s="31">
        <f>IF(D59="","",ROW()-5)</f>
        <v/>
      </c>
      <c r="B59" s="32" t="n"/>
      <c r="C59" s="31" t="n"/>
      <c r="D59" s="32" t="n"/>
      <c r="E59" s="32" t="n"/>
      <c r="F59" s="31" t="n"/>
      <c r="G59" s="32" t="n"/>
      <c r="H59" s="32" t="n"/>
      <c r="I59" s="31">
        <f>IF(D59="","",COUNTIF('Log a Workout'!$C$5:$C$200,D59))</f>
        <v/>
      </c>
      <c r="J59" s="51" t="b">
        <v>0</v>
      </c>
    </row>
    <row r="60">
      <c r="A60" s="31">
        <f>IF(D60="","",ROW()-5)</f>
        <v/>
      </c>
      <c r="B60" s="32" t="n"/>
      <c r="C60" s="31" t="n"/>
      <c r="D60" s="32" t="n"/>
      <c r="E60" s="32" t="n"/>
      <c r="F60" s="31" t="n"/>
      <c r="G60" s="32" t="n"/>
      <c r="H60" s="32" t="n"/>
      <c r="I60" s="31">
        <f>IF(D60="","",COUNTIF('Log a Workout'!$C$5:$C$200,D60))</f>
        <v/>
      </c>
      <c r="J60" s="51" t="b">
        <v>0</v>
      </c>
    </row>
    <row r="61">
      <c r="A61" s="31">
        <f>IF(D61="","",ROW()-5)</f>
        <v/>
      </c>
      <c r="B61" s="32" t="n"/>
      <c r="C61" s="31" t="n"/>
      <c r="D61" s="32" t="n"/>
      <c r="E61" s="32" t="n"/>
      <c r="F61" s="31" t="n"/>
      <c r="G61" s="32" t="n"/>
      <c r="H61" s="32" t="n"/>
      <c r="I61" s="31">
        <f>IF(D61="","",COUNTIF('Log a Workout'!$C$5:$C$200,D61))</f>
        <v/>
      </c>
      <c r="J61" s="51" t="b">
        <v>0</v>
      </c>
    </row>
    <row r="62">
      <c r="A62" s="31">
        <f>IF(D62="","",ROW()-5)</f>
        <v/>
      </c>
      <c r="B62" s="32" t="n"/>
      <c r="C62" s="31" t="n"/>
      <c r="D62" s="32" t="n"/>
      <c r="E62" s="32" t="n"/>
      <c r="F62" s="31" t="n"/>
      <c r="G62" s="32" t="n"/>
      <c r="H62" s="32" t="n"/>
      <c r="I62" s="31">
        <f>IF(D62="","",COUNTIF('Log a Workout'!$C$5:$C$200,D62))</f>
        <v/>
      </c>
      <c r="J62" s="51" t="b">
        <v>0</v>
      </c>
    </row>
    <row r="63">
      <c r="A63" s="31">
        <f>IF(D63="","",ROW()-5)</f>
        <v/>
      </c>
      <c r="B63" s="32" t="n"/>
      <c r="C63" s="31" t="n"/>
      <c r="D63" s="32" t="n"/>
      <c r="E63" s="32" t="n"/>
      <c r="F63" s="31" t="n"/>
      <c r="G63" s="32" t="n"/>
      <c r="H63" s="32" t="n"/>
      <c r="I63" s="31">
        <f>IF(D63="","",COUNTIF('Log a Workout'!$C$5:$C$200,D63))</f>
        <v/>
      </c>
      <c r="J63" s="51" t="b">
        <v>0</v>
      </c>
    </row>
    <row r="64">
      <c r="A64" s="31">
        <f>IF(D64="","",ROW()-5)</f>
        <v/>
      </c>
      <c r="B64" s="32" t="n"/>
      <c r="C64" s="31" t="n"/>
      <c r="D64" s="32" t="n"/>
      <c r="E64" s="32" t="n"/>
      <c r="F64" s="31" t="n"/>
      <c r="G64" s="32" t="n"/>
      <c r="H64" s="32" t="n"/>
      <c r="I64" s="31">
        <f>IF(D64="","",COUNTIF('Log a Workout'!$C$5:$C$200,D64))</f>
        <v/>
      </c>
      <c r="J64" s="51" t="b">
        <v>0</v>
      </c>
    </row>
    <row r="65">
      <c r="A65" s="31">
        <f>IF(D65="","",ROW()-5)</f>
        <v/>
      </c>
      <c r="B65" s="32" t="n"/>
      <c r="C65" s="31" t="n"/>
      <c r="D65" s="32" t="n"/>
      <c r="E65" s="32" t="n"/>
      <c r="F65" s="31" t="n"/>
      <c r="G65" s="32" t="n"/>
      <c r="H65" s="32" t="n"/>
      <c r="I65" s="31">
        <f>IF(D65="","",COUNTIF('Log a Workout'!$C$5:$C$200,D65))</f>
        <v/>
      </c>
      <c r="J65" s="51" t="b">
        <v>0</v>
      </c>
    </row>
    <row r="66">
      <c r="A66" s="31">
        <f>IF(D66="","",ROW()-5)</f>
        <v/>
      </c>
      <c r="B66" s="32" t="n"/>
      <c r="C66" s="31" t="n"/>
      <c r="D66" s="32" t="n"/>
      <c r="E66" s="32" t="n"/>
      <c r="F66" s="31" t="n"/>
      <c r="G66" s="32" t="n"/>
      <c r="H66" s="32" t="n"/>
      <c r="I66" s="31">
        <f>IF(D66="","",COUNTIF('Log a Workout'!$C$5:$C$200,D66))</f>
        <v/>
      </c>
      <c r="J66" s="51" t="b">
        <v>0</v>
      </c>
    </row>
    <row r="67">
      <c r="A67" s="31">
        <f>IF(D67="","",ROW()-5)</f>
        <v/>
      </c>
      <c r="B67" s="32" t="n"/>
      <c r="C67" s="31" t="n"/>
      <c r="D67" s="32" t="n"/>
      <c r="E67" s="32" t="n"/>
      <c r="F67" s="31" t="n"/>
      <c r="G67" s="32" t="n"/>
      <c r="H67" s="32" t="n"/>
      <c r="I67" s="31">
        <f>IF(D67="","",COUNTIF('Log a Workout'!$C$5:$C$200,D67))</f>
        <v/>
      </c>
      <c r="J67" s="51" t="b">
        <v>0</v>
      </c>
    </row>
    <row r="68">
      <c r="A68" s="31">
        <f>IF(D68="","",ROW()-5)</f>
        <v/>
      </c>
      <c r="B68" s="32" t="n"/>
      <c r="C68" s="31" t="n"/>
      <c r="D68" s="32" t="n"/>
      <c r="E68" s="32" t="n"/>
      <c r="F68" s="31" t="n"/>
      <c r="G68" s="32" t="n"/>
      <c r="H68" s="32" t="n"/>
      <c r="I68" s="31">
        <f>IF(D68="","",COUNTIF('Log a Workout'!$C$5:$C$200,D68))</f>
        <v/>
      </c>
      <c r="J68" s="51" t="b">
        <v>0</v>
      </c>
    </row>
    <row r="69">
      <c r="A69" s="31">
        <f>IF(D69="","",ROW()-5)</f>
        <v/>
      </c>
      <c r="B69" s="32" t="n"/>
      <c r="C69" s="31" t="n"/>
      <c r="D69" s="32" t="n"/>
      <c r="E69" s="32" t="n"/>
      <c r="F69" s="31" t="n"/>
      <c r="G69" s="32" t="n"/>
      <c r="H69" s="32" t="n"/>
      <c r="I69" s="31">
        <f>IF(D69="","",COUNTIF('Log a Workout'!$C$5:$C$200,D69))</f>
        <v/>
      </c>
      <c r="J69" s="51" t="b">
        <v>0</v>
      </c>
    </row>
    <row r="70">
      <c r="A70" s="31">
        <f>IF(D70="","",ROW()-5)</f>
        <v/>
      </c>
      <c r="B70" s="32" t="n"/>
      <c r="C70" s="31" t="n"/>
      <c r="D70" s="32" t="n"/>
      <c r="E70" s="32" t="n"/>
      <c r="F70" s="31" t="n"/>
      <c r="G70" s="32" t="n"/>
      <c r="H70" s="32" t="n"/>
      <c r="I70" s="31">
        <f>IF(D70="","",COUNTIF('Log a Workout'!$C$5:$C$200,D70))</f>
        <v/>
      </c>
      <c r="J70" s="51" t="b">
        <v>0</v>
      </c>
    </row>
    <row r="71">
      <c r="A71" s="31">
        <f>IF(D71="","",ROW()-5)</f>
        <v/>
      </c>
      <c r="B71" s="32" t="n"/>
      <c r="C71" s="31" t="n"/>
      <c r="D71" s="32" t="n"/>
      <c r="E71" s="32" t="n"/>
      <c r="F71" s="31" t="n"/>
      <c r="G71" s="32" t="n"/>
      <c r="H71" s="32" t="n"/>
      <c r="I71" s="31">
        <f>IF(D71="","",COUNTIF('Log a Workout'!$C$5:$C$200,D71))</f>
        <v/>
      </c>
      <c r="J71" s="51" t="b">
        <v>0</v>
      </c>
    </row>
    <row r="72">
      <c r="A72" s="31">
        <f>IF(D72="","",ROW()-5)</f>
        <v/>
      </c>
      <c r="B72" s="32" t="n"/>
      <c r="C72" s="31" t="n"/>
      <c r="D72" s="32" t="n"/>
      <c r="E72" s="32" t="n"/>
      <c r="F72" s="31" t="n"/>
      <c r="G72" s="32" t="n"/>
      <c r="H72" s="32" t="n"/>
      <c r="I72" s="31">
        <f>IF(D72="","",COUNTIF('Log a Workout'!$C$5:$C$200,D72))</f>
        <v/>
      </c>
      <c r="J72" s="51" t="b">
        <v>0</v>
      </c>
    </row>
    <row r="73">
      <c r="A73" s="31">
        <f>IF(D73="","",ROW()-5)</f>
        <v/>
      </c>
      <c r="B73" s="32" t="n"/>
      <c r="C73" s="31" t="n"/>
      <c r="D73" s="32" t="n"/>
      <c r="E73" s="32" t="n"/>
      <c r="F73" s="31" t="n"/>
      <c r="G73" s="32" t="n"/>
      <c r="H73" s="32" t="n"/>
      <c r="I73" s="31">
        <f>IF(D73="","",COUNTIF('Log a Workout'!$C$5:$C$200,D73))</f>
        <v/>
      </c>
      <c r="J73" s="51" t="b">
        <v>0</v>
      </c>
    </row>
    <row r="74">
      <c r="A74" s="31">
        <f>IF(D74="","",ROW()-5)</f>
        <v/>
      </c>
      <c r="B74" s="32" t="n"/>
      <c r="C74" s="31" t="n"/>
      <c r="D74" s="32" t="n"/>
      <c r="E74" s="32" t="n"/>
      <c r="F74" s="31" t="n"/>
      <c r="G74" s="32" t="n"/>
      <c r="H74" s="32" t="n"/>
      <c r="I74" s="31">
        <f>IF(D74="","",COUNTIF('Log a Workout'!$C$5:$C$200,D74))</f>
        <v/>
      </c>
      <c r="J74" s="51" t="b">
        <v>0</v>
      </c>
    </row>
    <row r="75">
      <c r="A75" s="31">
        <f>IF(D75="","",ROW()-5)</f>
        <v/>
      </c>
      <c r="B75" s="32" t="n"/>
      <c r="C75" s="31" t="n"/>
      <c r="D75" s="32" t="n"/>
      <c r="E75" s="32" t="n"/>
      <c r="F75" s="31" t="n"/>
      <c r="G75" s="32" t="n"/>
      <c r="H75" s="32" t="n"/>
      <c r="I75" s="31">
        <f>IF(D75="","",COUNTIF('Log a Workout'!$C$5:$C$200,D75))</f>
        <v/>
      </c>
      <c r="J75" s="51" t="b">
        <v>0</v>
      </c>
    </row>
    <row r="76">
      <c r="A76" s="31">
        <f>IF(D76="","",ROW()-5)</f>
        <v/>
      </c>
      <c r="B76" s="32" t="n"/>
      <c r="C76" s="31" t="n"/>
      <c r="D76" s="32" t="n"/>
      <c r="E76" s="32" t="n"/>
      <c r="F76" s="31" t="n"/>
      <c r="G76" s="32" t="n"/>
      <c r="H76" s="32" t="n"/>
      <c r="I76" s="31">
        <f>IF(D76="","",COUNTIF('Log a Workout'!$C$5:$C$200,D76))</f>
        <v/>
      </c>
      <c r="J76" s="51" t="b">
        <v>0</v>
      </c>
    </row>
    <row r="77">
      <c r="A77" s="31">
        <f>IF(D77="","",ROW()-5)</f>
        <v/>
      </c>
      <c r="B77" s="32" t="n"/>
      <c r="C77" s="31" t="n"/>
      <c r="D77" s="32" t="n"/>
      <c r="E77" s="32" t="n"/>
      <c r="F77" s="31" t="n"/>
      <c r="G77" s="32" t="n"/>
      <c r="H77" s="32" t="n"/>
      <c r="I77" s="31">
        <f>IF(D77="","",COUNTIF('Log a Workout'!$C$5:$C$200,D77))</f>
        <v/>
      </c>
      <c r="J77" s="51" t="b">
        <v>0</v>
      </c>
    </row>
    <row r="78">
      <c r="A78" s="31">
        <f>IF(D78="","",ROW()-5)</f>
        <v/>
      </c>
      <c r="B78" s="32" t="n"/>
      <c r="C78" s="31" t="n"/>
      <c r="D78" s="32" t="n"/>
      <c r="E78" s="32" t="n"/>
      <c r="F78" s="31" t="n"/>
      <c r="G78" s="32" t="n"/>
      <c r="H78" s="32" t="n"/>
      <c r="I78" s="31">
        <f>IF(D78="","",COUNTIF('Log a Workout'!$C$5:$C$200,D78))</f>
        <v/>
      </c>
      <c r="J78" s="51" t="b">
        <v>0</v>
      </c>
    </row>
    <row r="79">
      <c r="A79" s="31">
        <f>IF(D79="","",ROW()-5)</f>
        <v/>
      </c>
      <c r="B79" s="32" t="n"/>
      <c r="C79" s="31" t="n"/>
      <c r="D79" s="32" t="n"/>
      <c r="E79" s="32" t="n"/>
      <c r="F79" s="31" t="n"/>
      <c r="G79" s="32" t="n"/>
      <c r="H79" s="32" t="n"/>
      <c r="I79" s="31">
        <f>IF(D79="","",COUNTIF('Log a Workout'!$C$5:$C$200,D79))</f>
        <v/>
      </c>
      <c r="J79" s="51" t="b">
        <v>0</v>
      </c>
    </row>
    <row r="80">
      <c r="A80" s="31">
        <f>IF(D80="","",ROW()-5)</f>
        <v/>
      </c>
      <c r="B80" s="32" t="n"/>
      <c r="C80" s="31" t="n"/>
      <c r="D80" s="32" t="n"/>
      <c r="E80" s="32" t="n"/>
      <c r="F80" s="31" t="n"/>
      <c r="G80" s="32" t="n"/>
      <c r="H80" s="32" t="n"/>
      <c r="I80" s="31">
        <f>IF(D80="","",COUNTIF('Log a Workout'!$C$5:$C$200,D80))</f>
        <v/>
      </c>
      <c r="J80" s="51" t="b">
        <v>0</v>
      </c>
    </row>
    <row r="81">
      <c r="A81" s="31">
        <f>IF(D81="","",ROW()-5)</f>
        <v/>
      </c>
      <c r="B81" s="32" t="n"/>
      <c r="C81" s="31" t="n"/>
      <c r="D81" s="32" t="n"/>
      <c r="E81" s="32" t="n"/>
      <c r="F81" s="31" t="n"/>
      <c r="G81" s="32" t="n"/>
      <c r="H81" s="32" t="n"/>
      <c r="I81" s="31">
        <f>IF(D81="","",COUNTIF('Log a Workout'!$C$5:$C$200,D81))</f>
        <v/>
      </c>
      <c r="J81" s="51" t="b">
        <v>0</v>
      </c>
    </row>
    <row r="82">
      <c r="A82" s="31">
        <f>IF(D82="","",ROW()-5)</f>
        <v/>
      </c>
      <c r="B82" s="32" t="n"/>
      <c r="C82" s="31" t="n"/>
      <c r="D82" s="32" t="n"/>
      <c r="E82" s="32" t="n"/>
      <c r="F82" s="31" t="n"/>
      <c r="G82" s="32" t="n"/>
      <c r="H82" s="32" t="n"/>
      <c r="I82" s="31">
        <f>IF(D82="","",COUNTIF('Log a Workout'!$C$5:$C$200,D82))</f>
        <v/>
      </c>
      <c r="J82" s="51" t="b">
        <v>0</v>
      </c>
    </row>
    <row r="83">
      <c r="A83" s="31">
        <f>IF(D83="","",ROW()-5)</f>
        <v/>
      </c>
      <c r="B83" s="32" t="n"/>
      <c r="C83" s="31" t="n"/>
      <c r="D83" s="32" t="n"/>
      <c r="E83" s="32" t="n"/>
      <c r="F83" s="31" t="n"/>
      <c r="G83" s="32" t="n"/>
      <c r="H83" s="32" t="n"/>
      <c r="I83" s="31">
        <f>IF(D83="","",COUNTIF('Log a Workout'!$C$5:$C$200,D83))</f>
        <v/>
      </c>
      <c r="J83" s="51" t="b">
        <v>0</v>
      </c>
    </row>
    <row r="84">
      <c r="A84" s="31">
        <f>IF(D84="","",ROW()-5)</f>
        <v/>
      </c>
      <c r="B84" s="32" t="n"/>
      <c r="C84" s="31" t="n"/>
      <c r="D84" s="32" t="n"/>
      <c r="E84" s="32" t="n"/>
      <c r="F84" s="31" t="n"/>
      <c r="G84" s="32" t="n"/>
      <c r="H84" s="32" t="n"/>
      <c r="I84" s="31">
        <f>IF(D84="","",COUNTIF('Log a Workout'!$C$5:$C$200,D84))</f>
        <v/>
      </c>
      <c r="J84" s="51" t="b">
        <v>0</v>
      </c>
    </row>
    <row r="85">
      <c r="A85" s="31">
        <f>IF(D85="","",ROW()-5)</f>
        <v/>
      </c>
      <c r="B85" s="32" t="n"/>
      <c r="C85" s="31" t="n"/>
      <c r="D85" s="32" t="n"/>
      <c r="E85" s="32" t="n"/>
      <c r="F85" s="31" t="n"/>
      <c r="G85" s="32" t="n"/>
      <c r="H85" s="32" t="n"/>
      <c r="I85" s="31">
        <f>IF(D85="","",COUNTIF('Log a Workout'!$C$5:$C$200,D85))</f>
        <v/>
      </c>
      <c r="J85" s="51" t="b">
        <v>0</v>
      </c>
    </row>
    <row r="86">
      <c r="A86" s="31">
        <f>IF(D86="","",ROW()-5)</f>
        <v/>
      </c>
      <c r="B86" s="32" t="n"/>
      <c r="C86" s="31" t="n"/>
      <c r="D86" s="32" t="n"/>
      <c r="E86" s="32" t="n"/>
      <c r="F86" s="31" t="n"/>
      <c r="G86" s="32" t="n"/>
      <c r="H86" s="32" t="n"/>
      <c r="I86" s="31">
        <f>IF(D86="","",COUNTIF('Log a Workout'!$C$5:$C$200,D86))</f>
        <v/>
      </c>
      <c r="J86" s="51" t="b">
        <v>0</v>
      </c>
    </row>
    <row r="87">
      <c r="A87" s="31">
        <f>IF(D87="","",ROW()-5)</f>
        <v/>
      </c>
      <c r="B87" s="32" t="n"/>
      <c r="C87" s="31" t="n"/>
      <c r="D87" s="32" t="n"/>
      <c r="E87" s="32" t="n"/>
      <c r="F87" s="31" t="n"/>
      <c r="G87" s="32" t="n"/>
      <c r="H87" s="32" t="n"/>
      <c r="I87" s="31">
        <f>IF(D87="","",COUNTIF('Log a Workout'!$C$5:$C$200,D87))</f>
        <v/>
      </c>
      <c r="J87" s="51" t="b">
        <v>0</v>
      </c>
    </row>
    <row r="88">
      <c r="A88" s="31">
        <f>IF(D88="","",ROW()-5)</f>
        <v/>
      </c>
      <c r="B88" s="32" t="n"/>
      <c r="C88" s="31" t="n"/>
      <c r="D88" s="32" t="n"/>
      <c r="E88" s="32" t="n"/>
      <c r="F88" s="31" t="n"/>
      <c r="G88" s="32" t="n"/>
      <c r="H88" s="32" t="n"/>
      <c r="I88" s="31">
        <f>IF(D88="","",COUNTIF('Log a Workout'!$C$5:$C$200,D88))</f>
        <v/>
      </c>
      <c r="J88" s="51" t="b">
        <v>0</v>
      </c>
    </row>
    <row r="89">
      <c r="A89" s="31">
        <f>IF(D89="","",ROW()-5)</f>
        <v/>
      </c>
      <c r="B89" s="32" t="n"/>
      <c r="C89" s="31" t="n"/>
      <c r="D89" s="32" t="n"/>
      <c r="E89" s="32" t="n"/>
      <c r="F89" s="31" t="n"/>
      <c r="G89" s="32" t="n"/>
      <c r="H89" s="32" t="n"/>
      <c r="I89" s="31">
        <f>IF(D89="","",COUNTIF('Log a Workout'!$C$5:$C$200,D89))</f>
        <v/>
      </c>
      <c r="J89" s="51" t="b">
        <v>0</v>
      </c>
    </row>
    <row r="90">
      <c r="A90" s="31">
        <f>IF(D90="","",ROW()-5)</f>
        <v/>
      </c>
      <c r="B90" s="32" t="n"/>
      <c r="C90" s="31" t="n"/>
      <c r="D90" s="32" t="n"/>
      <c r="E90" s="32" t="n"/>
      <c r="F90" s="31" t="n"/>
      <c r="G90" s="32" t="n"/>
      <c r="H90" s="32" t="n"/>
      <c r="I90" s="31">
        <f>IF(D90="","",COUNTIF('Log a Workout'!$C$5:$C$200,D90))</f>
        <v/>
      </c>
      <c r="J90" s="51" t="b">
        <v>0</v>
      </c>
    </row>
    <row r="91">
      <c r="A91" s="31">
        <f>IF(D91="","",ROW()-5)</f>
        <v/>
      </c>
      <c r="B91" s="32" t="n"/>
      <c r="C91" s="31" t="n"/>
      <c r="D91" s="32" t="n"/>
      <c r="E91" s="32" t="n"/>
      <c r="F91" s="31" t="n"/>
      <c r="G91" s="32" t="n"/>
      <c r="H91" s="32" t="n"/>
      <c r="I91" s="31">
        <f>IF(D91="","",COUNTIF('Log a Workout'!$C$5:$C$200,D91))</f>
        <v/>
      </c>
      <c r="J91" s="51" t="b">
        <v>0</v>
      </c>
    </row>
    <row r="92">
      <c r="A92" s="31">
        <f>IF(D92="","",ROW()-5)</f>
        <v/>
      </c>
      <c r="B92" s="32" t="n"/>
      <c r="C92" s="31" t="n"/>
      <c r="D92" s="32" t="n"/>
      <c r="E92" s="32" t="n"/>
      <c r="F92" s="31" t="n"/>
      <c r="G92" s="32" t="n"/>
      <c r="H92" s="32" t="n"/>
      <c r="I92" s="31">
        <f>IF(D92="","",COUNTIF('Log a Workout'!$C$5:$C$200,D92))</f>
        <v/>
      </c>
      <c r="J92" s="51" t="b">
        <v>0</v>
      </c>
    </row>
    <row r="93">
      <c r="A93" s="31">
        <f>IF(D93="","",ROW()-5)</f>
        <v/>
      </c>
      <c r="B93" s="32" t="n"/>
      <c r="C93" s="31" t="n"/>
      <c r="D93" s="32" t="n"/>
      <c r="E93" s="32" t="n"/>
      <c r="F93" s="31" t="n"/>
      <c r="G93" s="32" t="n"/>
      <c r="H93" s="32" t="n"/>
      <c r="I93" s="31">
        <f>IF(D93="","",COUNTIF('Log a Workout'!$C$5:$C$200,D93))</f>
        <v/>
      </c>
      <c r="J93" s="51" t="b">
        <v>0</v>
      </c>
    </row>
    <row r="94">
      <c r="A94" s="31">
        <f>IF(D94="","",ROW()-5)</f>
        <v/>
      </c>
      <c r="B94" s="32" t="n"/>
      <c r="C94" s="31" t="n"/>
      <c r="D94" s="32" t="n"/>
      <c r="E94" s="32" t="n"/>
      <c r="F94" s="31" t="n"/>
      <c r="G94" s="32" t="n"/>
      <c r="H94" s="32" t="n"/>
      <c r="I94" s="31">
        <f>IF(D94="","",COUNTIF('Log a Workout'!$C$5:$C$200,D94))</f>
        <v/>
      </c>
      <c r="J94" s="51" t="b">
        <v>0</v>
      </c>
    </row>
    <row r="95">
      <c r="A95" s="31">
        <f>IF(D95="","",ROW()-5)</f>
        <v/>
      </c>
      <c r="B95" s="32" t="n"/>
      <c r="C95" s="31" t="n"/>
      <c r="D95" s="32" t="n"/>
      <c r="E95" s="32" t="n"/>
      <c r="F95" s="31" t="n"/>
      <c r="G95" s="32" t="n"/>
      <c r="H95" s="32" t="n"/>
      <c r="I95" s="31">
        <f>IF(D95="","",COUNTIF('Log a Workout'!$C$5:$C$200,D95))</f>
        <v/>
      </c>
      <c r="J95" s="51" t="b">
        <v>0</v>
      </c>
    </row>
    <row r="96">
      <c r="A96" s="31">
        <f>IF(D96="","",ROW()-5)</f>
        <v/>
      </c>
      <c r="B96" s="32" t="n"/>
      <c r="C96" s="31" t="n"/>
      <c r="D96" s="32" t="n"/>
      <c r="E96" s="32" t="n"/>
      <c r="F96" s="31" t="n"/>
      <c r="G96" s="32" t="n"/>
      <c r="H96" s="32" t="n"/>
      <c r="I96" s="31">
        <f>IF(D96="","",COUNTIF('Log a Workout'!$C$5:$C$200,D96))</f>
        <v/>
      </c>
      <c r="J96" s="51" t="b">
        <v>0</v>
      </c>
    </row>
    <row r="97">
      <c r="A97" s="31">
        <f>IF(D97="","",ROW()-5)</f>
        <v/>
      </c>
      <c r="B97" s="32" t="n"/>
      <c r="C97" s="31" t="n"/>
      <c r="D97" s="32" t="n"/>
      <c r="E97" s="32" t="n"/>
      <c r="F97" s="31" t="n"/>
      <c r="G97" s="32" t="n"/>
      <c r="H97" s="32" t="n"/>
      <c r="I97" s="31">
        <f>IF(D97="","",COUNTIF('Log a Workout'!$C$5:$C$200,D97))</f>
        <v/>
      </c>
      <c r="J97" s="51" t="b">
        <v>0</v>
      </c>
    </row>
    <row r="98">
      <c r="A98" s="31">
        <f>IF(D98="","",ROW()-5)</f>
        <v/>
      </c>
      <c r="B98" s="32" t="n"/>
      <c r="C98" s="31" t="n"/>
      <c r="D98" s="32" t="n"/>
      <c r="E98" s="32" t="n"/>
      <c r="F98" s="31" t="n"/>
      <c r="G98" s="32" t="n"/>
      <c r="H98" s="32" t="n"/>
      <c r="I98" s="31">
        <f>IF(D98="","",COUNTIF('Log a Workout'!$C$5:$C$200,D98))</f>
        <v/>
      </c>
      <c r="J98" s="51" t="b">
        <v>0</v>
      </c>
    </row>
    <row r="99">
      <c r="A99" s="31">
        <f>IF(D99="","",ROW()-5)</f>
        <v/>
      </c>
      <c r="B99" s="32" t="n"/>
      <c r="C99" s="31" t="n"/>
      <c r="D99" s="32" t="n"/>
      <c r="E99" s="32" t="n"/>
      <c r="F99" s="31" t="n"/>
      <c r="G99" s="32" t="n"/>
      <c r="H99" s="32" t="n"/>
      <c r="I99" s="31">
        <f>IF(D99="","",COUNTIF('Log a Workout'!$C$5:$C$200,D99))</f>
        <v/>
      </c>
      <c r="J99" s="51" t="b">
        <v>0</v>
      </c>
    </row>
    <row r="100">
      <c r="A100" s="31">
        <f>IF(D100="","",ROW()-5)</f>
        <v/>
      </c>
      <c r="B100" s="32" t="n"/>
      <c r="C100" s="31" t="n"/>
      <c r="D100" s="32" t="n"/>
      <c r="E100" s="32" t="n"/>
      <c r="F100" s="31" t="n"/>
      <c r="G100" s="32" t="n"/>
      <c r="H100" s="32" t="n"/>
      <c r="I100" s="31">
        <f>IF(D100="","",COUNTIF('Log a Workout'!$C$5:$C$200,D100))</f>
        <v/>
      </c>
      <c r="J100" s="51" t="b">
        <v>0</v>
      </c>
    </row>
    <row r="101">
      <c r="A101" s="31">
        <f>IF(D101="","",ROW()-5)</f>
        <v/>
      </c>
      <c r="B101" s="32" t="n"/>
      <c r="C101" s="31" t="n"/>
      <c r="D101" s="32" t="n"/>
      <c r="E101" s="32" t="n"/>
      <c r="F101" s="31" t="n"/>
      <c r="G101" s="32" t="n"/>
      <c r="H101" s="32" t="n"/>
      <c r="I101" s="31">
        <f>IF(D101="","",COUNTIF('Log a Workout'!$C$5:$C$200,D101))</f>
        <v/>
      </c>
      <c r="J101" s="51" t="b">
        <v>0</v>
      </c>
    </row>
    <row r="102">
      <c r="A102" s="31">
        <f>IF(D102="","",ROW()-5)</f>
        <v/>
      </c>
      <c r="B102" s="32" t="n"/>
      <c r="C102" s="31" t="n"/>
      <c r="D102" s="32" t="n"/>
      <c r="E102" s="32" t="n"/>
      <c r="F102" s="31" t="n"/>
      <c r="G102" s="32" t="n"/>
      <c r="H102" s="32" t="n"/>
      <c r="I102" s="31">
        <f>IF(D102="","",COUNTIF('Log a Workout'!$C$5:$C$200,D102))</f>
        <v/>
      </c>
      <c r="J102" s="51" t="b">
        <v>0</v>
      </c>
    </row>
    <row r="103">
      <c r="A103" s="31">
        <f>IF(D103="","",ROW()-5)</f>
        <v/>
      </c>
      <c r="B103" s="32" t="n"/>
      <c r="C103" s="31" t="n"/>
      <c r="D103" s="32" t="n"/>
      <c r="E103" s="32" t="n"/>
      <c r="F103" s="31" t="n"/>
      <c r="G103" s="32" t="n"/>
      <c r="H103" s="32" t="n"/>
      <c r="I103" s="31">
        <f>IF(D103="","",COUNTIF('Log a Workout'!$C$5:$C$200,D103))</f>
        <v/>
      </c>
      <c r="J103" s="51" t="b">
        <v>0</v>
      </c>
    </row>
    <row r="104">
      <c r="A104" s="31">
        <f>IF(D104="","",ROW()-5)</f>
        <v/>
      </c>
      <c r="B104" s="32" t="n"/>
      <c r="C104" s="31" t="n"/>
      <c r="D104" s="32" t="n"/>
      <c r="E104" s="32" t="n"/>
      <c r="F104" s="31" t="n"/>
      <c r="G104" s="32" t="n"/>
      <c r="H104" s="32" t="n"/>
      <c r="I104" s="31">
        <f>IF(D104="","",COUNTIF('Log a Workout'!$C$5:$C$200,D104))</f>
        <v/>
      </c>
      <c r="J104" s="51" t="b">
        <v>0</v>
      </c>
    </row>
    <row r="105">
      <c r="A105" s="31">
        <f>IF(D105="","",ROW()-5)</f>
        <v/>
      </c>
      <c r="B105" s="32" t="n"/>
      <c r="C105" s="31" t="n"/>
      <c r="D105" s="32" t="n"/>
      <c r="E105" s="32" t="n"/>
      <c r="F105" s="31" t="n"/>
      <c r="G105" s="32" t="n"/>
      <c r="H105" s="32" t="n"/>
      <c r="I105" s="31">
        <f>IF(D105="","",COUNTIF('Log a Workout'!$C$5:$C$200,D105))</f>
        <v/>
      </c>
      <c r="J105" s="51" t="b">
        <v>0</v>
      </c>
    </row>
    <row r="106">
      <c r="A106" s="31">
        <f>IF(D106="","",ROW()-5)</f>
        <v/>
      </c>
      <c r="B106" s="32" t="n"/>
      <c r="C106" s="31" t="n"/>
      <c r="D106" s="32" t="n"/>
      <c r="E106" s="32" t="n"/>
      <c r="F106" s="31" t="n"/>
      <c r="G106" s="32" t="n"/>
      <c r="H106" s="32" t="n"/>
      <c r="I106" s="31">
        <f>IF(D106="","",COUNTIF('Log a Workout'!$C$5:$C$200,D106))</f>
        <v/>
      </c>
      <c r="J106" s="51" t="b">
        <v>0</v>
      </c>
    </row>
    <row r="107">
      <c r="A107" s="31">
        <f>IF(D107="","",ROW()-5)</f>
        <v/>
      </c>
      <c r="B107" s="32" t="n"/>
      <c r="C107" s="31" t="n"/>
      <c r="D107" s="32" t="n"/>
      <c r="E107" s="32" t="n"/>
      <c r="F107" s="31" t="n"/>
      <c r="G107" s="32" t="n"/>
      <c r="H107" s="32" t="n"/>
      <c r="I107" s="31">
        <f>IF(D107="","",COUNTIF('Log a Workout'!$C$5:$C$200,D107))</f>
        <v/>
      </c>
      <c r="J107" s="51" t="b">
        <v>0</v>
      </c>
    </row>
    <row r="108">
      <c r="A108" s="31">
        <f>IF(D108="","",ROW()-5)</f>
        <v/>
      </c>
      <c r="B108" s="32" t="n"/>
      <c r="C108" s="31" t="n"/>
      <c r="D108" s="32" t="n"/>
      <c r="E108" s="32" t="n"/>
      <c r="F108" s="31" t="n"/>
      <c r="G108" s="32" t="n"/>
      <c r="H108" s="32" t="n"/>
      <c r="I108" s="31">
        <f>IF(D108="","",COUNTIF('Log a Workout'!$C$5:$C$200,D108))</f>
        <v/>
      </c>
      <c r="J108" s="51" t="b">
        <v>0</v>
      </c>
    </row>
    <row r="109">
      <c r="A109" s="31">
        <f>IF(D109="","",ROW()-5)</f>
        <v/>
      </c>
      <c r="B109" s="32" t="n"/>
      <c r="C109" s="31" t="n"/>
      <c r="D109" s="32" t="n"/>
      <c r="E109" s="32" t="n"/>
      <c r="F109" s="31" t="n"/>
      <c r="G109" s="32" t="n"/>
      <c r="H109" s="32" t="n"/>
      <c r="I109" s="31">
        <f>IF(D109="","",COUNTIF('Log a Workout'!$C$5:$C$200,D109))</f>
        <v/>
      </c>
      <c r="J109" s="51" t="b">
        <v>0</v>
      </c>
    </row>
    <row r="110">
      <c r="A110" s="31">
        <f>IF(D110="","",ROW()-5)</f>
        <v/>
      </c>
      <c r="B110" s="32" t="n"/>
      <c r="C110" s="31" t="n"/>
      <c r="D110" s="32" t="n"/>
      <c r="E110" s="32" t="n"/>
      <c r="F110" s="31" t="n"/>
      <c r="G110" s="32" t="n"/>
      <c r="H110" s="32" t="n"/>
      <c r="I110" s="31">
        <f>IF(D110="","",COUNTIF('Log a Workout'!$C$5:$C$200,D110))</f>
        <v/>
      </c>
      <c r="J110" s="51" t="b">
        <v>0</v>
      </c>
    </row>
    <row r="111">
      <c r="A111" s="31">
        <f>IF(D111="","",ROW()-5)</f>
        <v/>
      </c>
      <c r="B111" s="32" t="n"/>
      <c r="C111" s="31" t="n"/>
      <c r="D111" s="32" t="n"/>
      <c r="E111" s="32" t="n"/>
      <c r="F111" s="31" t="n"/>
      <c r="G111" s="32" t="n"/>
      <c r="H111" s="32" t="n"/>
      <c r="I111" s="31">
        <f>IF(D111="","",COUNTIF('Log a Workout'!$C$5:$C$200,D111))</f>
        <v/>
      </c>
      <c r="J111" s="51" t="b">
        <v>0</v>
      </c>
    </row>
    <row r="112">
      <c r="A112" s="31">
        <f>IF(D112="","",ROW()-5)</f>
        <v/>
      </c>
      <c r="B112" s="32" t="n"/>
      <c r="C112" s="31" t="n"/>
      <c r="D112" s="32" t="n"/>
      <c r="E112" s="32" t="n"/>
      <c r="F112" s="31" t="n"/>
      <c r="G112" s="32" t="n"/>
      <c r="H112" s="32" t="n"/>
      <c r="I112" s="31">
        <f>IF(D112="","",COUNTIF('Log a Workout'!$C$5:$C$200,D112))</f>
        <v/>
      </c>
      <c r="J112" s="51" t="b">
        <v>0</v>
      </c>
    </row>
    <row r="113">
      <c r="A113" s="31">
        <f>IF(D113="","",ROW()-5)</f>
        <v/>
      </c>
      <c r="B113" s="32" t="n"/>
      <c r="C113" s="31" t="n"/>
      <c r="D113" s="32" t="n"/>
      <c r="E113" s="32" t="n"/>
      <c r="F113" s="31" t="n"/>
      <c r="G113" s="32" t="n"/>
      <c r="H113" s="32" t="n"/>
      <c r="I113" s="31">
        <f>IF(D113="","",COUNTIF('Log a Workout'!$C$5:$C$200,D113))</f>
        <v/>
      </c>
      <c r="J113" s="51" t="b">
        <v>0</v>
      </c>
    </row>
    <row r="114">
      <c r="A114" s="31">
        <f>IF(D114="","",ROW()-5)</f>
        <v/>
      </c>
      <c r="B114" s="32" t="n"/>
      <c r="C114" s="31" t="n"/>
      <c r="D114" s="32" t="n"/>
      <c r="E114" s="32" t="n"/>
      <c r="F114" s="31" t="n"/>
      <c r="G114" s="32" t="n"/>
      <c r="H114" s="32" t="n"/>
      <c r="I114" s="31">
        <f>IF(D114="","",COUNTIF('Log a Workout'!$C$5:$C$200,D114))</f>
        <v/>
      </c>
      <c r="J114" s="51" t="b">
        <v>0</v>
      </c>
    </row>
    <row r="115">
      <c r="A115" s="31">
        <f>IF(D115="","",ROW()-5)</f>
        <v/>
      </c>
      <c r="B115" s="32" t="n"/>
      <c r="C115" s="31" t="n"/>
      <c r="D115" s="32" t="n"/>
      <c r="E115" s="32" t="n"/>
      <c r="F115" s="31" t="n"/>
      <c r="G115" s="32" t="n"/>
      <c r="H115" s="32" t="n"/>
      <c r="I115" s="31">
        <f>IF(D115="","",COUNTIF('Log a Workout'!$C$5:$C$200,D115))</f>
        <v/>
      </c>
      <c r="J115" s="51" t="b">
        <v>0</v>
      </c>
    </row>
    <row r="116">
      <c r="A116" s="31">
        <f>IF(D116="","",ROW()-5)</f>
        <v/>
      </c>
      <c r="B116" s="32" t="n"/>
      <c r="C116" s="31" t="n"/>
      <c r="D116" s="32" t="n"/>
      <c r="E116" s="32" t="n"/>
      <c r="F116" s="31" t="n"/>
      <c r="G116" s="32" t="n"/>
      <c r="H116" s="32" t="n"/>
      <c r="I116" s="31">
        <f>IF(D116="","",COUNTIF('Log a Workout'!$C$5:$C$200,D116))</f>
        <v/>
      </c>
      <c r="J116" s="51" t="b">
        <v>0</v>
      </c>
    </row>
    <row r="117">
      <c r="A117" s="31">
        <f>IF(D117="","",ROW()-5)</f>
        <v/>
      </c>
      <c r="B117" s="32" t="n"/>
      <c r="C117" s="31" t="n"/>
      <c r="D117" s="32" t="n"/>
      <c r="E117" s="32" t="n"/>
      <c r="F117" s="31" t="n"/>
      <c r="G117" s="32" t="n"/>
      <c r="H117" s="32" t="n"/>
      <c r="I117" s="31">
        <f>IF(D117="","",COUNTIF('Log a Workout'!$C$5:$C$200,D117))</f>
        <v/>
      </c>
      <c r="J117" s="51" t="b">
        <v>0</v>
      </c>
    </row>
    <row r="118">
      <c r="A118" s="31">
        <f>IF(D118="","",ROW()-5)</f>
        <v/>
      </c>
      <c r="B118" s="32" t="n"/>
      <c r="C118" s="31" t="n"/>
      <c r="D118" s="32" t="n"/>
      <c r="E118" s="32" t="n"/>
      <c r="F118" s="31" t="n"/>
      <c r="G118" s="32" t="n"/>
      <c r="H118" s="32" t="n"/>
      <c r="I118" s="31">
        <f>IF(D118="","",COUNTIF('Log a Workout'!$C$5:$C$200,D118))</f>
        <v/>
      </c>
      <c r="J118" s="51" t="b">
        <v>0</v>
      </c>
    </row>
    <row r="119">
      <c r="A119" s="31">
        <f>IF(D119="","",ROW()-5)</f>
        <v/>
      </c>
      <c r="B119" s="32" t="n"/>
      <c r="C119" s="31" t="n"/>
      <c r="D119" s="32" t="n"/>
      <c r="E119" s="32" t="n"/>
      <c r="F119" s="31" t="n"/>
      <c r="G119" s="32" t="n"/>
      <c r="H119" s="32" t="n"/>
      <c r="I119" s="31">
        <f>IF(D119="","",COUNTIF('Log a Workout'!$C$5:$C$200,D119))</f>
        <v/>
      </c>
      <c r="J119" s="51" t="b">
        <v>0</v>
      </c>
    </row>
    <row r="120">
      <c r="A120" s="31">
        <f>IF(D120="","",ROW()-5)</f>
        <v/>
      </c>
      <c r="B120" s="32" t="n"/>
      <c r="C120" s="31" t="n"/>
      <c r="D120" s="32" t="n"/>
      <c r="E120" s="32" t="n"/>
      <c r="F120" s="31" t="n"/>
      <c r="G120" s="32" t="n"/>
      <c r="H120" s="32" t="n"/>
      <c r="I120" s="31">
        <f>IF(D120="","",COUNTIF('Log a Workout'!$C$5:$C$200,D120))</f>
        <v/>
      </c>
      <c r="J120" s="51" t="b">
        <v>0</v>
      </c>
    </row>
  </sheetData>
  <mergeCells count="3">
    <mergeCell ref="A1:I1"/>
    <mergeCell ref="C4:H4"/>
    <mergeCell ref="A2:I2"/>
  </mergeCells>
  <conditionalFormatting sqref="J6:J120">
    <cfRule type="expression" priority="1" dxfId="4">
      <formula>J6=TRUE</formula>
    </cfRule>
  </conditionalFormatting>
  <conditionalFormatting sqref="A6:I120">
    <cfRule type="expression" priority="2" dxfId="5">
      <formula>$C6=Settings!$B$5</formula>
    </cfRule>
    <cfRule type="expression" priority="3" dxfId="6">
      <formula>$C6=Settings!$B$6</formula>
    </cfRule>
    <cfRule type="expression" priority="4" dxfId="7">
      <formula>$C6=Settings!$B$7</formula>
    </cfRule>
  </conditionalFormatting>
  <dataValidations count="4">
    <dataValidation sqref="B4" showDropDown="0" showInputMessage="0" showErrorMessage="0" allowBlank="0" type="list">
      <formula1>"TRUE,FALSE"</formula1>
    </dataValidation>
    <dataValidation sqref="B6:B120" showDropDown="0" showInputMessage="0" showErrorMessage="0" allowBlank="1" type="list">
      <formula1>=BlockTypesList</formula1>
    </dataValidation>
    <dataValidation sqref="C6:C120" showDropDown="0" showInputMessage="0" showErrorMessage="0" allowBlank="1" type="list">
      <formula1>=GroupPlusAllLevels</formula1>
    </dataValidation>
    <dataValidation sqref="J6:J120" showDropDown="0" showInputMessage="0" showErrorMessage="0" allowBlank="0" type="list">
      <formula1>"TRUE,FALSE"</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B7B7B7"/>
    <outlinePr summaryBelow="1" summaryRight="1"/>
    <pageSetUpPr fitToPage="1"/>
  </sheetPr>
  <dimension ref="A1:G20"/>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0" customWidth="1" min="3" max="3"/>
    <col width="16" customWidth="1" min="4" max="4"/>
    <col width="18" customWidth="1" min="5" max="5"/>
    <col width="34" customWidth="1" min="6" max="6"/>
    <col width="30" customWidth="1" min="7" max="7"/>
  </cols>
  <sheetData>
    <row r="1" ht="30" customHeight="1">
      <c r="A1" s="21" t="inlineStr">
        <is>
          <t>Rotation Schedule</t>
        </is>
      </c>
    </row>
    <row r="2">
      <c r="A2" s="2" t="inlineStr">
        <is>
          <t>Thursday only — auto-generated from Settings (start date, group names) and the Coach Profiles tab (who's flagged for Thursday). Running low on weeks? Tap the checkbox below — works on a phone too.</t>
        </is>
      </c>
    </row>
    <row r="3">
      <c r="A3" s="22" t="inlineStr">
        <is>
          <t>Add 4 weeks:</t>
        </is>
      </c>
      <c r="B3" s="23" t="b">
        <v>0</v>
      </c>
      <c r="C3" s="24" t="inlineStr">
        <is>
          <t>tap TRUE — extends this and Full Team Calendar by 4 weeks; tap again for 4 more</t>
        </is>
      </c>
    </row>
    <row r="4" ht="32" customHeight="1">
      <c r="A4" s="9" t="inlineStr">
        <is>
          <t>Week #</t>
        </is>
      </c>
      <c r="B4" s="9" t="inlineStr">
        <is>
          <t>Date</t>
        </is>
      </c>
      <c r="C4" s="9" t="inlineStr">
        <is>
          <t>Cycle Wk
(1-4)</t>
        </is>
      </c>
      <c r="D4" s="9" t="inlineStr">
        <is>
          <t>Featured Tier</t>
        </is>
      </c>
      <c r="E4" s="9" t="inlineStr">
        <is>
          <t>Lead Planning
Coach</t>
        </is>
      </c>
      <c r="F4" s="9" t="inlineStr">
        <is>
          <t>Other Groups This Week
(fill in)</t>
        </is>
      </c>
      <c r="G4" s="9" t="inlineStr">
        <is>
          <t>Notes</t>
        </is>
      </c>
    </row>
    <row r="5">
      <c r="A5" s="55" t="n">
        <v>1</v>
      </c>
      <c r="B5" s="56">
        <f>SeasonStart</f>
        <v/>
      </c>
      <c r="C5" s="55">
        <f>MOD(A5-1,4)+1</f>
        <v/>
      </c>
      <c r="D5" s="55">
        <f>IF(C5=4,"All Team",INDEX(GroupNamesRange,C5))</f>
        <v/>
      </c>
      <c r="E5" s="55">
        <f>IF(C5=4,"All Coaches",IF(SUMPRODUCT(--(ThursdayCoachList&lt;&gt;""))=0,"— add a Thursday coach —",INDEX(ThursdayCoachList,MOD(A5-1,SUMPRODUCT(--(ThursdayCoachList&lt;&gt;"")))+1)))</f>
        <v/>
      </c>
      <c r="F5" s="57" t="n"/>
      <c r="G5" s="57" t="n"/>
    </row>
    <row r="6">
      <c r="A6" s="55">
        <f>A5+1</f>
        <v/>
      </c>
      <c r="B6" s="56">
        <f>B5+7</f>
        <v/>
      </c>
      <c r="C6" s="55">
        <f>MOD(A6-1,4)+1</f>
        <v/>
      </c>
      <c r="D6" s="55">
        <f>IF(C6=4,"All Team",INDEX(GroupNamesRange,C6))</f>
        <v/>
      </c>
      <c r="E6" s="55">
        <f>IF(C6=4,"All Coaches",IF(SUMPRODUCT(--(ThursdayCoachList&lt;&gt;""))=0,"— add a Thursday coach —",INDEX(ThursdayCoachList,MOD(A6-1,SUMPRODUCT(--(ThursdayCoachList&lt;&gt;"")))+1)))</f>
        <v/>
      </c>
      <c r="F6" s="57" t="n"/>
      <c r="G6" s="57" t="n"/>
    </row>
    <row r="7">
      <c r="A7" s="55">
        <f>A6+1</f>
        <v/>
      </c>
      <c r="B7" s="56">
        <f>B6+7</f>
        <v/>
      </c>
      <c r="C7" s="55">
        <f>MOD(A7-1,4)+1</f>
        <v/>
      </c>
      <c r="D7" s="55">
        <f>IF(C7=4,"All Team",INDEX(GroupNamesRange,C7))</f>
        <v/>
      </c>
      <c r="E7" s="55">
        <f>IF(C7=4,"All Coaches",IF(SUMPRODUCT(--(ThursdayCoachList&lt;&gt;""))=0,"— add a Thursday coach —",INDEX(ThursdayCoachList,MOD(A7-1,SUMPRODUCT(--(ThursdayCoachList&lt;&gt;"")))+1)))</f>
        <v/>
      </c>
      <c r="F7" s="57" t="n"/>
      <c r="G7" s="57" t="n"/>
    </row>
    <row r="8">
      <c r="A8" s="55">
        <f>A7+1</f>
        <v/>
      </c>
      <c r="B8" s="56">
        <f>B7+7</f>
        <v/>
      </c>
      <c r="C8" s="55">
        <f>MOD(A8-1,4)+1</f>
        <v/>
      </c>
      <c r="D8" s="55">
        <f>IF(C8=4,"All Team",INDEX(GroupNamesRange,C8))</f>
        <v/>
      </c>
      <c r="E8" s="55">
        <f>IF(C8=4,"All Coaches",IF(SUMPRODUCT(--(ThursdayCoachList&lt;&gt;""))=0,"— add a Thursday coach —",INDEX(ThursdayCoachList,MOD(A8-1,SUMPRODUCT(--(ThursdayCoachList&lt;&gt;"")))+1)))</f>
        <v/>
      </c>
      <c r="F8" s="57" t="n"/>
      <c r="G8" s="57" t="n"/>
    </row>
    <row r="9">
      <c r="A9" s="55">
        <f>A8+1</f>
        <v/>
      </c>
      <c r="B9" s="56">
        <f>B8+7</f>
        <v/>
      </c>
      <c r="C9" s="55">
        <f>MOD(A9-1,4)+1</f>
        <v/>
      </c>
      <c r="D9" s="55">
        <f>IF(C9=4,"All Team",INDEX(GroupNamesRange,C9))</f>
        <v/>
      </c>
      <c r="E9" s="55">
        <f>IF(C9=4,"All Coaches",IF(SUMPRODUCT(--(ThursdayCoachList&lt;&gt;""))=0,"— add a Thursday coach —",INDEX(ThursdayCoachList,MOD(A9-1,SUMPRODUCT(--(ThursdayCoachList&lt;&gt;"")))+1)))</f>
        <v/>
      </c>
      <c r="F9" s="57" t="n"/>
      <c r="G9" s="57" t="n"/>
    </row>
    <row r="10">
      <c r="A10" s="55">
        <f>A9+1</f>
        <v/>
      </c>
      <c r="B10" s="56">
        <f>B9+7</f>
        <v/>
      </c>
      <c r="C10" s="55">
        <f>MOD(A10-1,4)+1</f>
        <v/>
      </c>
      <c r="D10" s="55">
        <f>IF(C10=4,"All Team",INDEX(GroupNamesRange,C10))</f>
        <v/>
      </c>
      <c r="E10" s="55">
        <f>IF(C10=4,"All Coaches",IF(SUMPRODUCT(--(ThursdayCoachList&lt;&gt;""))=0,"— add a Thursday coach —",INDEX(ThursdayCoachList,MOD(A10-1,SUMPRODUCT(--(ThursdayCoachList&lt;&gt;"")))+1)))</f>
        <v/>
      </c>
      <c r="F10" s="57" t="n"/>
      <c r="G10" s="57" t="n"/>
    </row>
    <row r="11">
      <c r="A11" s="55">
        <f>A10+1</f>
        <v/>
      </c>
      <c r="B11" s="56">
        <f>B10+7</f>
        <v/>
      </c>
      <c r="C11" s="55">
        <f>MOD(A11-1,4)+1</f>
        <v/>
      </c>
      <c r="D11" s="55">
        <f>IF(C11=4,"All Team",INDEX(GroupNamesRange,C11))</f>
        <v/>
      </c>
      <c r="E11" s="55">
        <f>IF(C11=4,"All Coaches",IF(SUMPRODUCT(--(ThursdayCoachList&lt;&gt;""))=0,"— add a Thursday coach —",INDEX(ThursdayCoachList,MOD(A11-1,SUMPRODUCT(--(ThursdayCoachList&lt;&gt;"")))+1)))</f>
        <v/>
      </c>
      <c r="F11" s="57" t="n"/>
      <c r="G11" s="57" t="n"/>
    </row>
    <row r="12">
      <c r="A12" s="55">
        <f>A11+1</f>
        <v/>
      </c>
      <c r="B12" s="56">
        <f>B11+7</f>
        <v/>
      </c>
      <c r="C12" s="55">
        <f>MOD(A12-1,4)+1</f>
        <v/>
      </c>
      <c r="D12" s="55">
        <f>IF(C12=4,"All Team",INDEX(GroupNamesRange,C12))</f>
        <v/>
      </c>
      <c r="E12" s="55">
        <f>IF(C12=4,"All Coaches",IF(SUMPRODUCT(--(ThursdayCoachList&lt;&gt;""))=0,"— add a Thursday coach —",INDEX(ThursdayCoachList,MOD(A12-1,SUMPRODUCT(--(ThursdayCoachList&lt;&gt;"")))+1)))</f>
        <v/>
      </c>
      <c r="F12" s="57" t="n"/>
      <c r="G12" s="57" t="n"/>
    </row>
    <row r="13">
      <c r="A13" s="55">
        <f>A12+1</f>
        <v/>
      </c>
      <c r="B13" s="56">
        <f>B12+7</f>
        <v/>
      </c>
      <c r="C13" s="55">
        <f>MOD(A13-1,4)+1</f>
        <v/>
      </c>
      <c r="D13" s="55">
        <f>IF(C13=4,"All Team",INDEX(GroupNamesRange,C13))</f>
        <v/>
      </c>
      <c r="E13" s="55">
        <f>IF(C13=4,"All Coaches",IF(SUMPRODUCT(--(ThursdayCoachList&lt;&gt;""))=0,"— add a Thursday coach —",INDEX(ThursdayCoachList,MOD(A13-1,SUMPRODUCT(--(ThursdayCoachList&lt;&gt;"")))+1)))</f>
        <v/>
      </c>
      <c r="F13" s="57" t="n"/>
      <c r="G13" s="57" t="n"/>
    </row>
    <row r="14">
      <c r="A14" s="55">
        <f>A13+1</f>
        <v/>
      </c>
      <c r="B14" s="56">
        <f>B13+7</f>
        <v/>
      </c>
      <c r="C14" s="55">
        <f>MOD(A14-1,4)+1</f>
        <v/>
      </c>
      <c r="D14" s="55">
        <f>IF(C14=4,"All Team",INDEX(GroupNamesRange,C14))</f>
        <v/>
      </c>
      <c r="E14" s="55">
        <f>IF(C14=4,"All Coaches",IF(SUMPRODUCT(--(ThursdayCoachList&lt;&gt;""))=0,"— add a Thursday coach —",INDEX(ThursdayCoachList,MOD(A14-1,SUMPRODUCT(--(ThursdayCoachList&lt;&gt;"")))+1)))</f>
        <v/>
      </c>
      <c r="F14" s="57" t="n"/>
      <c r="G14" s="57" t="n"/>
    </row>
    <row r="15">
      <c r="A15" s="55">
        <f>A14+1</f>
        <v/>
      </c>
      <c r="B15" s="56">
        <f>B14+7</f>
        <v/>
      </c>
      <c r="C15" s="55">
        <f>MOD(A15-1,4)+1</f>
        <v/>
      </c>
      <c r="D15" s="55">
        <f>IF(C15=4,"All Team",INDEX(GroupNamesRange,C15))</f>
        <v/>
      </c>
      <c r="E15" s="55">
        <f>IF(C15=4,"All Coaches",IF(SUMPRODUCT(--(ThursdayCoachList&lt;&gt;""))=0,"— add a Thursday coach —",INDEX(ThursdayCoachList,MOD(A15-1,SUMPRODUCT(--(ThursdayCoachList&lt;&gt;"")))+1)))</f>
        <v/>
      </c>
      <c r="F15" s="57" t="n"/>
      <c r="G15" s="57" t="n"/>
    </row>
    <row r="16">
      <c r="A16" s="55">
        <f>A15+1</f>
        <v/>
      </c>
      <c r="B16" s="56">
        <f>B15+7</f>
        <v/>
      </c>
      <c r="C16" s="55">
        <f>MOD(A16-1,4)+1</f>
        <v/>
      </c>
      <c r="D16" s="55">
        <f>IF(C16=4,"All Team",INDEX(GroupNamesRange,C16))</f>
        <v/>
      </c>
      <c r="E16" s="55">
        <f>IF(C16=4,"All Coaches",IF(SUMPRODUCT(--(ThursdayCoachList&lt;&gt;""))=0,"— add a Thursday coach —",INDEX(ThursdayCoachList,MOD(A16-1,SUMPRODUCT(--(ThursdayCoachList&lt;&gt;"")))+1)))</f>
        <v/>
      </c>
      <c r="F16" s="57" t="n"/>
      <c r="G16" s="57" t="n"/>
    </row>
    <row r="17">
      <c r="A17" s="55">
        <f>A16+1</f>
        <v/>
      </c>
      <c r="B17" s="56">
        <f>B16+7</f>
        <v/>
      </c>
      <c r="C17" s="55">
        <f>MOD(A17-1,4)+1</f>
        <v/>
      </c>
      <c r="D17" s="55">
        <f>IF(C17=4,"All Team",INDEX(GroupNamesRange,C17))</f>
        <v/>
      </c>
      <c r="E17" s="55">
        <f>IF(C17=4,"All Coaches",IF(SUMPRODUCT(--(ThursdayCoachList&lt;&gt;""))=0,"— add a Thursday coach —",INDEX(ThursdayCoachList,MOD(A17-1,SUMPRODUCT(--(ThursdayCoachList&lt;&gt;"")))+1)))</f>
        <v/>
      </c>
      <c r="F17" s="57" t="n"/>
      <c r="G17" s="57" t="n"/>
    </row>
    <row r="18">
      <c r="A18" s="55">
        <f>A17+1</f>
        <v/>
      </c>
      <c r="B18" s="56">
        <f>B17+7</f>
        <v/>
      </c>
      <c r="C18" s="55">
        <f>MOD(A18-1,4)+1</f>
        <v/>
      </c>
      <c r="D18" s="55">
        <f>IF(C18=4,"All Team",INDEX(GroupNamesRange,C18))</f>
        <v/>
      </c>
      <c r="E18" s="55">
        <f>IF(C18=4,"All Coaches",IF(SUMPRODUCT(--(ThursdayCoachList&lt;&gt;""))=0,"— add a Thursday coach —",INDEX(ThursdayCoachList,MOD(A18-1,SUMPRODUCT(--(ThursdayCoachList&lt;&gt;"")))+1)))</f>
        <v/>
      </c>
      <c r="F18" s="57" t="n"/>
      <c r="G18" s="57" t="n"/>
    </row>
    <row r="19">
      <c r="A19" s="55">
        <f>A18+1</f>
        <v/>
      </c>
      <c r="B19" s="56">
        <f>B18+7</f>
        <v/>
      </c>
      <c r="C19" s="55">
        <f>MOD(A19-1,4)+1</f>
        <v/>
      </c>
      <c r="D19" s="55">
        <f>IF(C19=4,"All Team",INDEX(GroupNamesRange,C19))</f>
        <v/>
      </c>
      <c r="E19" s="55">
        <f>IF(C19=4,"All Coaches",IF(SUMPRODUCT(--(ThursdayCoachList&lt;&gt;""))=0,"— add a Thursday coach —",INDEX(ThursdayCoachList,MOD(A19-1,SUMPRODUCT(--(ThursdayCoachList&lt;&gt;"")))+1)))</f>
        <v/>
      </c>
      <c r="F19" s="57" t="n"/>
      <c r="G19" s="57" t="n"/>
    </row>
    <row r="20">
      <c r="A20" s="55">
        <f>A19+1</f>
        <v/>
      </c>
      <c r="B20" s="56">
        <f>B19+7</f>
        <v/>
      </c>
      <c r="C20" s="55">
        <f>MOD(A20-1,4)+1</f>
        <v/>
      </c>
      <c r="D20" s="55">
        <f>IF(C20=4,"All Team",INDEX(GroupNamesRange,C20))</f>
        <v/>
      </c>
      <c r="E20" s="55">
        <f>IF(C20=4,"All Coaches",IF(SUMPRODUCT(--(ThursdayCoachList&lt;&gt;""))=0,"— add a Thursday coach —",INDEX(ThursdayCoachList,MOD(A20-1,SUMPRODUCT(--(ThursdayCoachList&lt;&gt;"")))+1)))</f>
        <v/>
      </c>
      <c r="F20" s="57" t="n"/>
      <c r="G20" s="57" t="n"/>
    </row>
  </sheetData>
  <mergeCells count="3">
    <mergeCell ref="A2:G2"/>
    <mergeCell ref="A1:G1"/>
    <mergeCell ref="C3:G3"/>
  </mergeCells>
  <conditionalFormatting sqref="A5:G20">
    <cfRule type="expression" priority="1" dxfId="0">
      <formula>$D5="All Team"</formula>
    </cfRule>
    <cfRule type="expression" priority="2" dxfId="5">
      <formula>$D5=Settings!$B$5</formula>
    </cfRule>
    <cfRule type="expression" priority="3" dxfId="6">
      <formula>$D5=Settings!$B$6</formula>
    </cfRule>
    <cfRule type="expression" priority="4" dxfId="7">
      <formula>$D5=Settings!$B$7</formula>
    </cfRule>
  </conditionalFormatting>
  <dataValidations count="1">
    <dataValidation sqref="B3" showDropDown="0" showInputMessage="0" showErrorMessage="0" allowBlank="0" type="list">
      <formula1>"TRUE,FALSE"</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B7B7B7"/>
    <outlinePr summaryBelow="1" summaryRight="1"/>
    <pageSetUpPr fitToPage="1"/>
  </sheetPr>
  <dimension ref="A1:E52"/>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26" customWidth="1" min="3" max="3"/>
    <col width="16" customWidth="1" min="4" max="4"/>
    <col width="38" customWidth="1" min="5" max="5"/>
  </cols>
  <sheetData>
    <row r="1" ht="30" customHeight="1">
      <c r="A1" s="21" t="inlineStr">
        <is>
          <t>Full Team Calendar</t>
        </is>
      </c>
    </row>
    <row r="2">
      <c r="A2" s="2" t="inlineStr">
        <is>
          <t>Every practice day (Mon/Tue/Thu) for the whole season in one place — the piece meant to eventually cover the entire team, not just Thursday. Coach columns pull from the Coach Profiles tab; Thursday's tier pulls from Rotation Schedule. Notes/Format is open for whatever the Monday/Tuesday coaches already run.</t>
        </is>
      </c>
    </row>
    <row r="4" ht="30" customHeight="1">
      <c r="A4" s="9" t="inlineStr">
        <is>
          <t>Date</t>
        </is>
      </c>
      <c r="B4" s="9" t="inlineStr">
        <is>
          <t>Day</t>
        </is>
      </c>
      <c r="C4" s="9" t="inlineStr">
        <is>
          <t>Coach(es) on Duty</t>
        </is>
      </c>
      <c r="D4" s="9" t="inlineStr">
        <is>
          <t>Thursday
Featured Tier</t>
        </is>
      </c>
      <c r="E4" s="9" t="inlineStr">
        <is>
          <t>Notes / Format (fill in)</t>
        </is>
      </c>
    </row>
    <row r="5">
      <c r="A5" s="58">
        <f>SeasonStart-3</f>
        <v/>
      </c>
      <c r="B5" s="55">
        <f>TEXT(A5,"dddd")</f>
        <v/>
      </c>
      <c r="C5" s="57">
        <f>IF(SUMPRODUCT(--(MondayCoachList&lt;&gt;""))=0,"— add a Monday coach —",INDEX(MondayCoachList,MOD(0,SUMPRODUCT(--(MondayCoachList&lt;&gt;"")))+1))</f>
        <v/>
      </c>
      <c r="D5" s="55" t="inlineStr">
        <is>
          <t>—</t>
        </is>
      </c>
      <c r="E5" s="57" t="n"/>
    </row>
    <row r="6">
      <c r="A6" s="58">
        <f>A5+1</f>
        <v/>
      </c>
      <c r="B6" s="55">
        <f>TEXT(A6,"dddd")</f>
        <v/>
      </c>
      <c r="C6" s="57">
        <f>IF(SUMPRODUCT(--(TuesdayCoachList&lt;&gt;""))=0,"— add a Tuesday coach —",INDEX(TuesdayCoachList,MOD(0,SUMPRODUCT(--(TuesdayCoachList&lt;&gt;"")))+1))</f>
        <v/>
      </c>
      <c r="D6" s="55" t="inlineStr">
        <is>
          <t>—</t>
        </is>
      </c>
      <c r="E6" s="57" t="n"/>
    </row>
    <row r="7">
      <c r="A7" s="58">
        <f>A6+2</f>
        <v/>
      </c>
      <c r="B7" s="55">
        <f>TEXT(A7,"dddd")</f>
        <v/>
      </c>
      <c r="C7" s="57">
        <f>IFERROR(INDEX('Rotation Schedule'!$E$5:$E$20,MATCH(A7,'Rotation Schedule'!$B$5:$B$20,0)),"")</f>
        <v/>
      </c>
      <c r="D7" s="55">
        <f>IFERROR(INDEX('Rotation Schedule'!$D$5:$D$20,MATCH(A7,'Rotation Schedule'!$B$5:$B$20,0)),"")</f>
        <v/>
      </c>
      <c r="E7" s="57" t="n"/>
    </row>
    <row r="8">
      <c r="A8" s="58">
        <f>A5+7</f>
        <v/>
      </c>
      <c r="B8" s="55">
        <f>TEXT(A8,"dddd")</f>
        <v/>
      </c>
      <c r="C8" s="57">
        <f>IF(SUMPRODUCT(--(MondayCoachList&lt;&gt;""))=0,"— add a Monday coach —",INDEX(MondayCoachList,MOD(1,SUMPRODUCT(--(MondayCoachList&lt;&gt;"")))+1))</f>
        <v/>
      </c>
      <c r="D8" s="55" t="inlineStr">
        <is>
          <t>—</t>
        </is>
      </c>
      <c r="E8" s="57" t="n"/>
    </row>
    <row r="9">
      <c r="A9" s="58">
        <f>A8+1</f>
        <v/>
      </c>
      <c r="B9" s="55">
        <f>TEXT(A9,"dddd")</f>
        <v/>
      </c>
      <c r="C9" s="57">
        <f>IF(SUMPRODUCT(--(TuesdayCoachList&lt;&gt;""))=0,"— add a Tuesday coach —",INDEX(TuesdayCoachList,MOD(1,SUMPRODUCT(--(TuesdayCoachList&lt;&gt;"")))+1))</f>
        <v/>
      </c>
      <c r="D9" s="55" t="inlineStr">
        <is>
          <t>—</t>
        </is>
      </c>
      <c r="E9" s="57" t="n"/>
    </row>
    <row r="10">
      <c r="A10" s="58">
        <f>A9+2</f>
        <v/>
      </c>
      <c r="B10" s="55">
        <f>TEXT(A10,"dddd")</f>
        <v/>
      </c>
      <c r="C10" s="57">
        <f>IFERROR(INDEX('Rotation Schedule'!$E$5:$E$20,MATCH(A10,'Rotation Schedule'!$B$5:$B$20,0)),"")</f>
        <v/>
      </c>
      <c r="D10" s="55">
        <f>IFERROR(INDEX('Rotation Schedule'!$D$5:$D$20,MATCH(A10,'Rotation Schedule'!$B$5:$B$20,0)),"")</f>
        <v/>
      </c>
      <c r="E10" s="57" t="n"/>
    </row>
    <row r="11">
      <c r="A11" s="58">
        <f>A8+7</f>
        <v/>
      </c>
      <c r="B11" s="55">
        <f>TEXT(A11,"dddd")</f>
        <v/>
      </c>
      <c r="C11" s="57">
        <f>IF(SUMPRODUCT(--(MondayCoachList&lt;&gt;""))=0,"— add a Monday coach —",INDEX(MondayCoachList,MOD(2,SUMPRODUCT(--(MondayCoachList&lt;&gt;"")))+1))</f>
        <v/>
      </c>
      <c r="D11" s="55" t="inlineStr">
        <is>
          <t>—</t>
        </is>
      </c>
      <c r="E11" s="57" t="n"/>
    </row>
    <row r="12">
      <c r="A12" s="58">
        <f>A11+1</f>
        <v/>
      </c>
      <c r="B12" s="55">
        <f>TEXT(A12,"dddd")</f>
        <v/>
      </c>
      <c r="C12" s="57">
        <f>IF(SUMPRODUCT(--(TuesdayCoachList&lt;&gt;""))=0,"— add a Tuesday coach —",INDEX(TuesdayCoachList,MOD(2,SUMPRODUCT(--(TuesdayCoachList&lt;&gt;"")))+1))</f>
        <v/>
      </c>
      <c r="D12" s="55" t="inlineStr">
        <is>
          <t>—</t>
        </is>
      </c>
      <c r="E12" s="57" t="n"/>
    </row>
    <row r="13">
      <c r="A13" s="58">
        <f>A12+2</f>
        <v/>
      </c>
      <c r="B13" s="55">
        <f>TEXT(A13,"dddd")</f>
        <v/>
      </c>
      <c r="C13" s="57">
        <f>IFERROR(INDEX('Rotation Schedule'!$E$5:$E$20,MATCH(A13,'Rotation Schedule'!$B$5:$B$20,0)),"")</f>
        <v/>
      </c>
      <c r="D13" s="55">
        <f>IFERROR(INDEX('Rotation Schedule'!$D$5:$D$20,MATCH(A13,'Rotation Schedule'!$B$5:$B$20,0)),"")</f>
        <v/>
      </c>
      <c r="E13" s="57" t="n"/>
    </row>
    <row r="14">
      <c r="A14" s="58">
        <f>A11+7</f>
        <v/>
      </c>
      <c r="B14" s="55">
        <f>TEXT(A14,"dddd")</f>
        <v/>
      </c>
      <c r="C14" s="57">
        <f>IF(SUMPRODUCT(--(MondayCoachList&lt;&gt;""))=0,"— add a Monday coach —",INDEX(MondayCoachList,MOD(3,SUMPRODUCT(--(MondayCoachList&lt;&gt;"")))+1))</f>
        <v/>
      </c>
      <c r="D14" s="55" t="inlineStr">
        <is>
          <t>—</t>
        </is>
      </c>
      <c r="E14" s="57" t="n"/>
    </row>
    <row r="15">
      <c r="A15" s="58">
        <f>A14+1</f>
        <v/>
      </c>
      <c r="B15" s="55">
        <f>TEXT(A15,"dddd")</f>
        <v/>
      </c>
      <c r="C15" s="57">
        <f>IF(SUMPRODUCT(--(TuesdayCoachList&lt;&gt;""))=0,"— add a Tuesday coach —",INDEX(TuesdayCoachList,MOD(3,SUMPRODUCT(--(TuesdayCoachList&lt;&gt;"")))+1))</f>
        <v/>
      </c>
      <c r="D15" s="55" t="inlineStr">
        <is>
          <t>—</t>
        </is>
      </c>
      <c r="E15" s="57" t="n"/>
    </row>
    <row r="16">
      <c r="A16" s="58">
        <f>A15+2</f>
        <v/>
      </c>
      <c r="B16" s="55">
        <f>TEXT(A16,"dddd")</f>
        <v/>
      </c>
      <c r="C16" s="57">
        <f>IFERROR(INDEX('Rotation Schedule'!$E$5:$E$20,MATCH(A16,'Rotation Schedule'!$B$5:$B$20,0)),"")</f>
        <v/>
      </c>
      <c r="D16" s="55">
        <f>IFERROR(INDEX('Rotation Schedule'!$D$5:$D$20,MATCH(A16,'Rotation Schedule'!$B$5:$B$20,0)),"")</f>
        <v/>
      </c>
      <c r="E16" s="57" t="n"/>
    </row>
    <row r="17">
      <c r="A17" s="58">
        <f>A14+7</f>
        <v/>
      </c>
      <c r="B17" s="55">
        <f>TEXT(A17,"dddd")</f>
        <v/>
      </c>
      <c r="C17" s="57">
        <f>IF(SUMPRODUCT(--(MondayCoachList&lt;&gt;""))=0,"— add a Monday coach —",INDEX(MondayCoachList,MOD(4,SUMPRODUCT(--(MondayCoachList&lt;&gt;"")))+1))</f>
        <v/>
      </c>
      <c r="D17" s="55" t="inlineStr">
        <is>
          <t>—</t>
        </is>
      </c>
      <c r="E17" s="57" t="n"/>
    </row>
    <row r="18">
      <c r="A18" s="58">
        <f>A17+1</f>
        <v/>
      </c>
      <c r="B18" s="55">
        <f>TEXT(A18,"dddd")</f>
        <v/>
      </c>
      <c r="C18" s="57">
        <f>IF(SUMPRODUCT(--(TuesdayCoachList&lt;&gt;""))=0,"— add a Tuesday coach —",INDEX(TuesdayCoachList,MOD(4,SUMPRODUCT(--(TuesdayCoachList&lt;&gt;"")))+1))</f>
        <v/>
      </c>
      <c r="D18" s="55" t="inlineStr">
        <is>
          <t>—</t>
        </is>
      </c>
      <c r="E18" s="57" t="n"/>
    </row>
    <row r="19">
      <c r="A19" s="58">
        <f>A18+2</f>
        <v/>
      </c>
      <c r="B19" s="55">
        <f>TEXT(A19,"dddd")</f>
        <v/>
      </c>
      <c r="C19" s="57">
        <f>IFERROR(INDEX('Rotation Schedule'!$E$5:$E$20,MATCH(A19,'Rotation Schedule'!$B$5:$B$20,0)),"")</f>
        <v/>
      </c>
      <c r="D19" s="55">
        <f>IFERROR(INDEX('Rotation Schedule'!$D$5:$D$20,MATCH(A19,'Rotation Schedule'!$B$5:$B$20,0)),"")</f>
        <v/>
      </c>
      <c r="E19" s="57" t="n"/>
    </row>
    <row r="20">
      <c r="A20" s="58">
        <f>A17+7</f>
        <v/>
      </c>
      <c r="B20" s="55">
        <f>TEXT(A20,"dddd")</f>
        <v/>
      </c>
      <c r="C20" s="57">
        <f>IF(SUMPRODUCT(--(MondayCoachList&lt;&gt;""))=0,"— add a Monday coach —",INDEX(MondayCoachList,MOD(5,SUMPRODUCT(--(MondayCoachList&lt;&gt;"")))+1))</f>
        <v/>
      </c>
      <c r="D20" s="55" t="inlineStr">
        <is>
          <t>—</t>
        </is>
      </c>
      <c r="E20" s="57" t="n"/>
    </row>
    <row r="21">
      <c r="A21" s="58">
        <f>A20+1</f>
        <v/>
      </c>
      <c r="B21" s="55">
        <f>TEXT(A21,"dddd")</f>
        <v/>
      </c>
      <c r="C21" s="57">
        <f>IF(SUMPRODUCT(--(TuesdayCoachList&lt;&gt;""))=0,"— add a Tuesday coach —",INDEX(TuesdayCoachList,MOD(5,SUMPRODUCT(--(TuesdayCoachList&lt;&gt;"")))+1))</f>
        <v/>
      </c>
      <c r="D21" s="55" t="inlineStr">
        <is>
          <t>—</t>
        </is>
      </c>
      <c r="E21" s="57" t="n"/>
    </row>
    <row r="22">
      <c r="A22" s="58">
        <f>A21+2</f>
        <v/>
      </c>
      <c r="B22" s="55">
        <f>TEXT(A22,"dddd")</f>
        <v/>
      </c>
      <c r="C22" s="57">
        <f>IFERROR(INDEX('Rotation Schedule'!$E$5:$E$20,MATCH(A22,'Rotation Schedule'!$B$5:$B$20,0)),"")</f>
        <v/>
      </c>
      <c r="D22" s="55">
        <f>IFERROR(INDEX('Rotation Schedule'!$D$5:$D$20,MATCH(A22,'Rotation Schedule'!$B$5:$B$20,0)),"")</f>
        <v/>
      </c>
      <c r="E22" s="57" t="n"/>
    </row>
    <row r="23">
      <c r="A23" s="58">
        <f>A20+7</f>
        <v/>
      </c>
      <c r="B23" s="55">
        <f>TEXT(A23,"dddd")</f>
        <v/>
      </c>
      <c r="C23" s="57">
        <f>IF(SUMPRODUCT(--(MondayCoachList&lt;&gt;""))=0,"— add a Monday coach —",INDEX(MondayCoachList,MOD(6,SUMPRODUCT(--(MondayCoachList&lt;&gt;"")))+1))</f>
        <v/>
      </c>
      <c r="D23" s="55" t="inlineStr">
        <is>
          <t>—</t>
        </is>
      </c>
      <c r="E23" s="57" t="n"/>
    </row>
    <row r="24">
      <c r="A24" s="58">
        <f>A23+1</f>
        <v/>
      </c>
      <c r="B24" s="55">
        <f>TEXT(A24,"dddd")</f>
        <v/>
      </c>
      <c r="C24" s="57">
        <f>IF(SUMPRODUCT(--(TuesdayCoachList&lt;&gt;""))=0,"— add a Tuesday coach —",INDEX(TuesdayCoachList,MOD(6,SUMPRODUCT(--(TuesdayCoachList&lt;&gt;"")))+1))</f>
        <v/>
      </c>
      <c r="D24" s="55" t="inlineStr">
        <is>
          <t>—</t>
        </is>
      </c>
      <c r="E24" s="57" t="n"/>
    </row>
    <row r="25">
      <c r="A25" s="58">
        <f>A24+2</f>
        <v/>
      </c>
      <c r="B25" s="55">
        <f>TEXT(A25,"dddd")</f>
        <v/>
      </c>
      <c r="C25" s="57">
        <f>IFERROR(INDEX('Rotation Schedule'!$E$5:$E$20,MATCH(A25,'Rotation Schedule'!$B$5:$B$20,0)),"")</f>
        <v/>
      </c>
      <c r="D25" s="55">
        <f>IFERROR(INDEX('Rotation Schedule'!$D$5:$D$20,MATCH(A25,'Rotation Schedule'!$B$5:$B$20,0)),"")</f>
        <v/>
      </c>
      <c r="E25" s="57" t="n"/>
    </row>
    <row r="26">
      <c r="A26" s="58">
        <f>A23+7</f>
        <v/>
      </c>
      <c r="B26" s="55">
        <f>TEXT(A26,"dddd")</f>
        <v/>
      </c>
      <c r="C26" s="57">
        <f>IF(SUMPRODUCT(--(MondayCoachList&lt;&gt;""))=0,"— add a Monday coach —",INDEX(MondayCoachList,MOD(7,SUMPRODUCT(--(MondayCoachList&lt;&gt;"")))+1))</f>
        <v/>
      </c>
      <c r="D26" s="55" t="inlineStr">
        <is>
          <t>—</t>
        </is>
      </c>
      <c r="E26" s="57" t="n"/>
    </row>
    <row r="27">
      <c r="A27" s="58">
        <f>A26+1</f>
        <v/>
      </c>
      <c r="B27" s="55">
        <f>TEXT(A27,"dddd")</f>
        <v/>
      </c>
      <c r="C27" s="57">
        <f>IF(SUMPRODUCT(--(TuesdayCoachList&lt;&gt;""))=0,"— add a Tuesday coach —",INDEX(TuesdayCoachList,MOD(7,SUMPRODUCT(--(TuesdayCoachList&lt;&gt;"")))+1))</f>
        <v/>
      </c>
      <c r="D27" s="55" t="inlineStr">
        <is>
          <t>—</t>
        </is>
      </c>
      <c r="E27" s="57" t="n"/>
    </row>
    <row r="28">
      <c r="A28" s="58">
        <f>A27+2</f>
        <v/>
      </c>
      <c r="B28" s="55">
        <f>TEXT(A28,"dddd")</f>
        <v/>
      </c>
      <c r="C28" s="57">
        <f>IFERROR(INDEX('Rotation Schedule'!$E$5:$E$20,MATCH(A28,'Rotation Schedule'!$B$5:$B$20,0)),"")</f>
        <v/>
      </c>
      <c r="D28" s="55">
        <f>IFERROR(INDEX('Rotation Schedule'!$D$5:$D$20,MATCH(A28,'Rotation Schedule'!$B$5:$B$20,0)),"")</f>
        <v/>
      </c>
      <c r="E28" s="57" t="n"/>
    </row>
    <row r="29">
      <c r="A29" s="58">
        <f>A26+7</f>
        <v/>
      </c>
      <c r="B29" s="55">
        <f>TEXT(A29,"dddd")</f>
        <v/>
      </c>
      <c r="C29" s="57">
        <f>IF(SUMPRODUCT(--(MondayCoachList&lt;&gt;""))=0,"— add a Monday coach —",INDEX(MondayCoachList,MOD(8,SUMPRODUCT(--(MondayCoachList&lt;&gt;"")))+1))</f>
        <v/>
      </c>
      <c r="D29" s="55" t="inlineStr">
        <is>
          <t>—</t>
        </is>
      </c>
      <c r="E29" s="57" t="n"/>
    </row>
    <row r="30">
      <c r="A30" s="58">
        <f>A29+1</f>
        <v/>
      </c>
      <c r="B30" s="55">
        <f>TEXT(A30,"dddd")</f>
        <v/>
      </c>
      <c r="C30" s="57">
        <f>IF(SUMPRODUCT(--(TuesdayCoachList&lt;&gt;""))=0,"— add a Tuesday coach —",INDEX(TuesdayCoachList,MOD(8,SUMPRODUCT(--(TuesdayCoachList&lt;&gt;"")))+1))</f>
        <v/>
      </c>
      <c r="D30" s="55" t="inlineStr">
        <is>
          <t>—</t>
        </is>
      </c>
      <c r="E30" s="57" t="n"/>
    </row>
    <row r="31">
      <c r="A31" s="58">
        <f>A30+2</f>
        <v/>
      </c>
      <c r="B31" s="55">
        <f>TEXT(A31,"dddd")</f>
        <v/>
      </c>
      <c r="C31" s="57">
        <f>IFERROR(INDEX('Rotation Schedule'!$E$5:$E$20,MATCH(A31,'Rotation Schedule'!$B$5:$B$20,0)),"")</f>
        <v/>
      </c>
      <c r="D31" s="55">
        <f>IFERROR(INDEX('Rotation Schedule'!$D$5:$D$20,MATCH(A31,'Rotation Schedule'!$B$5:$B$20,0)),"")</f>
        <v/>
      </c>
      <c r="E31" s="57" t="n"/>
    </row>
    <row r="32">
      <c r="A32" s="58">
        <f>A29+7</f>
        <v/>
      </c>
      <c r="B32" s="55">
        <f>TEXT(A32,"dddd")</f>
        <v/>
      </c>
      <c r="C32" s="57">
        <f>IF(SUMPRODUCT(--(MondayCoachList&lt;&gt;""))=0,"— add a Monday coach —",INDEX(MondayCoachList,MOD(9,SUMPRODUCT(--(MondayCoachList&lt;&gt;"")))+1))</f>
        <v/>
      </c>
      <c r="D32" s="55" t="inlineStr">
        <is>
          <t>—</t>
        </is>
      </c>
      <c r="E32" s="57" t="n"/>
    </row>
    <row r="33">
      <c r="A33" s="58">
        <f>A32+1</f>
        <v/>
      </c>
      <c r="B33" s="55">
        <f>TEXT(A33,"dddd")</f>
        <v/>
      </c>
      <c r="C33" s="57">
        <f>IF(SUMPRODUCT(--(TuesdayCoachList&lt;&gt;""))=0,"— add a Tuesday coach —",INDEX(TuesdayCoachList,MOD(9,SUMPRODUCT(--(TuesdayCoachList&lt;&gt;"")))+1))</f>
        <v/>
      </c>
      <c r="D33" s="55" t="inlineStr">
        <is>
          <t>—</t>
        </is>
      </c>
      <c r="E33" s="57" t="n"/>
    </row>
    <row r="34">
      <c r="A34" s="58">
        <f>A33+2</f>
        <v/>
      </c>
      <c r="B34" s="55">
        <f>TEXT(A34,"dddd")</f>
        <v/>
      </c>
      <c r="C34" s="57">
        <f>IFERROR(INDEX('Rotation Schedule'!$E$5:$E$20,MATCH(A34,'Rotation Schedule'!$B$5:$B$20,0)),"")</f>
        <v/>
      </c>
      <c r="D34" s="55">
        <f>IFERROR(INDEX('Rotation Schedule'!$D$5:$D$20,MATCH(A34,'Rotation Schedule'!$B$5:$B$20,0)),"")</f>
        <v/>
      </c>
      <c r="E34" s="57" t="n"/>
    </row>
    <row r="35">
      <c r="A35" s="58">
        <f>A32+7</f>
        <v/>
      </c>
      <c r="B35" s="55">
        <f>TEXT(A35,"dddd")</f>
        <v/>
      </c>
      <c r="C35" s="57">
        <f>IF(SUMPRODUCT(--(MondayCoachList&lt;&gt;""))=0,"— add a Monday coach —",INDEX(MondayCoachList,MOD(10,SUMPRODUCT(--(MondayCoachList&lt;&gt;"")))+1))</f>
        <v/>
      </c>
      <c r="D35" s="55" t="inlineStr">
        <is>
          <t>—</t>
        </is>
      </c>
      <c r="E35" s="57" t="n"/>
    </row>
    <row r="36">
      <c r="A36" s="58">
        <f>A35+1</f>
        <v/>
      </c>
      <c r="B36" s="55">
        <f>TEXT(A36,"dddd")</f>
        <v/>
      </c>
      <c r="C36" s="57">
        <f>IF(SUMPRODUCT(--(TuesdayCoachList&lt;&gt;""))=0,"— add a Tuesday coach —",INDEX(TuesdayCoachList,MOD(10,SUMPRODUCT(--(TuesdayCoachList&lt;&gt;"")))+1))</f>
        <v/>
      </c>
      <c r="D36" s="55" t="inlineStr">
        <is>
          <t>—</t>
        </is>
      </c>
      <c r="E36" s="57" t="n"/>
    </row>
    <row r="37">
      <c r="A37" s="58">
        <f>A36+2</f>
        <v/>
      </c>
      <c r="B37" s="55">
        <f>TEXT(A37,"dddd")</f>
        <v/>
      </c>
      <c r="C37" s="57">
        <f>IFERROR(INDEX('Rotation Schedule'!$E$5:$E$20,MATCH(A37,'Rotation Schedule'!$B$5:$B$20,0)),"")</f>
        <v/>
      </c>
      <c r="D37" s="55">
        <f>IFERROR(INDEX('Rotation Schedule'!$D$5:$D$20,MATCH(A37,'Rotation Schedule'!$B$5:$B$20,0)),"")</f>
        <v/>
      </c>
      <c r="E37" s="57" t="n"/>
    </row>
    <row r="38">
      <c r="A38" s="58">
        <f>A35+7</f>
        <v/>
      </c>
      <c r="B38" s="55">
        <f>TEXT(A38,"dddd")</f>
        <v/>
      </c>
      <c r="C38" s="57">
        <f>IF(SUMPRODUCT(--(MondayCoachList&lt;&gt;""))=0,"— add a Monday coach —",INDEX(MondayCoachList,MOD(11,SUMPRODUCT(--(MondayCoachList&lt;&gt;"")))+1))</f>
        <v/>
      </c>
      <c r="D38" s="55" t="inlineStr">
        <is>
          <t>—</t>
        </is>
      </c>
      <c r="E38" s="57" t="n"/>
    </row>
    <row r="39">
      <c r="A39" s="58">
        <f>A38+1</f>
        <v/>
      </c>
      <c r="B39" s="55">
        <f>TEXT(A39,"dddd")</f>
        <v/>
      </c>
      <c r="C39" s="57">
        <f>IF(SUMPRODUCT(--(TuesdayCoachList&lt;&gt;""))=0,"— add a Tuesday coach —",INDEX(TuesdayCoachList,MOD(11,SUMPRODUCT(--(TuesdayCoachList&lt;&gt;"")))+1))</f>
        <v/>
      </c>
      <c r="D39" s="55" t="inlineStr">
        <is>
          <t>—</t>
        </is>
      </c>
      <c r="E39" s="57" t="n"/>
    </row>
    <row r="40">
      <c r="A40" s="58">
        <f>A39+2</f>
        <v/>
      </c>
      <c r="B40" s="55">
        <f>TEXT(A40,"dddd")</f>
        <v/>
      </c>
      <c r="C40" s="57">
        <f>IFERROR(INDEX('Rotation Schedule'!$E$5:$E$20,MATCH(A40,'Rotation Schedule'!$B$5:$B$20,0)),"")</f>
        <v/>
      </c>
      <c r="D40" s="55">
        <f>IFERROR(INDEX('Rotation Schedule'!$D$5:$D$20,MATCH(A40,'Rotation Schedule'!$B$5:$B$20,0)),"")</f>
        <v/>
      </c>
      <c r="E40" s="57" t="n"/>
    </row>
    <row r="41">
      <c r="A41" s="58">
        <f>A38+7</f>
        <v/>
      </c>
      <c r="B41" s="55">
        <f>TEXT(A41,"dddd")</f>
        <v/>
      </c>
      <c r="C41" s="57">
        <f>IF(SUMPRODUCT(--(MondayCoachList&lt;&gt;""))=0,"— add a Monday coach —",INDEX(MondayCoachList,MOD(12,SUMPRODUCT(--(MondayCoachList&lt;&gt;"")))+1))</f>
        <v/>
      </c>
      <c r="D41" s="55" t="inlineStr">
        <is>
          <t>—</t>
        </is>
      </c>
      <c r="E41" s="57" t="n"/>
    </row>
    <row r="42">
      <c r="A42" s="58">
        <f>A41+1</f>
        <v/>
      </c>
      <c r="B42" s="55">
        <f>TEXT(A42,"dddd")</f>
        <v/>
      </c>
      <c r="C42" s="57">
        <f>IF(SUMPRODUCT(--(TuesdayCoachList&lt;&gt;""))=0,"— add a Tuesday coach —",INDEX(TuesdayCoachList,MOD(12,SUMPRODUCT(--(TuesdayCoachList&lt;&gt;"")))+1))</f>
        <v/>
      </c>
      <c r="D42" s="55" t="inlineStr">
        <is>
          <t>—</t>
        </is>
      </c>
      <c r="E42" s="57" t="n"/>
    </row>
    <row r="43">
      <c r="A43" s="58">
        <f>A42+2</f>
        <v/>
      </c>
      <c r="B43" s="55">
        <f>TEXT(A43,"dddd")</f>
        <v/>
      </c>
      <c r="C43" s="57">
        <f>IFERROR(INDEX('Rotation Schedule'!$E$5:$E$20,MATCH(A43,'Rotation Schedule'!$B$5:$B$20,0)),"")</f>
        <v/>
      </c>
      <c r="D43" s="55">
        <f>IFERROR(INDEX('Rotation Schedule'!$D$5:$D$20,MATCH(A43,'Rotation Schedule'!$B$5:$B$20,0)),"")</f>
        <v/>
      </c>
      <c r="E43" s="57" t="n"/>
    </row>
    <row r="44">
      <c r="A44" s="58">
        <f>A41+7</f>
        <v/>
      </c>
      <c r="B44" s="55">
        <f>TEXT(A44,"dddd")</f>
        <v/>
      </c>
      <c r="C44" s="57">
        <f>IF(SUMPRODUCT(--(MondayCoachList&lt;&gt;""))=0,"— add a Monday coach —",INDEX(MondayCoachList,MOD(13,SUMPRODUCT(--(MondayCoachList&lt;&gt;"")))+1))</f>
        <v/>
      </c>
      <c r="D44" s="55" t="inlineStr">
        <is>
          <t>—</t>
        </is>
      </c>
      <c r="E44" s="57" t="n"/>
    </row>
    <row r="45">
      <c r="A45" s="58">
        <f>A44+1</f>
        <v/>
      </c>
      <c r="B45" s="55">
        <f>TEXT(A45,"dddd")</f>
        <v/>
      </c>
      <c r="C45" s="57">
        <f>IF(SUMPRODUCT(--(TuesdayCoachList&lt;&gt;""))=0,"— add a Tuesday coach —",INDEX(TuesdayCoachList,MOD(13,SUMPRODUCT(--(TuesdayCoachList&lt;&gt;"")))+1))</f>
        <v/>
      </c>
      <c r="D45" s="55" t="inlineStr">
        <is>
          <t>—</t>
        </is>
      </c>
      <c r="E45" s="57" t="n"/>
    </row>
    <row r="46">
      <c r="A46" s="58">
        <f>A45+2</f>
        <v/>
      </c>
      <c r="B46" s="55">
        <f>TEXT(A46,"dddd")</f>
        <v/>
      </c>
      <c r="C46" s="57">
        <f>IFERROR(INDEX('Rotation Schedule'!$E$5:$E$20,MATCH(A46,'Rotation Schedule'!$B$5:$B$20,0)),"")</f>
        <v/>
      </c>
      <c r="D46" s="55">
        <f>IFERROR(INDEX('Rotation Schedule'!$D$5:$D$20,MATCH(A46,'Rotation Schedule'!$B$5:$B$20,0)),"")</f>
        <v/>
      </c>
      <c r="E46" s="57" t="n"/>
    </row>
    <row r="47">
      <c r="A47" s="58">
        <f>A44+7</f>
        <v/>
      </c>
      <c r="B47" s="55">
        <f>TEXT(A47,"dddd")</f>
        <v/>
      </c>
      <c r="C47" s="57">
        <f>IF(SUMPRODUCT(--(MondayCoachList&lt;&gt;""))=0,"— add a Monday coach —",INDEX(MondayCoachList,MOD(14,SUMPRODUCT(--(MondayCoachList&lt;&gt;"")))+1))</f>
        <v/>
      </c>
      <c r="D47" s="55" t="inlineStr">
        <is>
          <t>—</t>
        </is>
      </c>
      <c r="E47" s="57" t="n"/>
    </row>
    <row r="48">
      <c r="A48" s="58">
        <f>A47+1</f>
        <v/>
      </c>
      <c r="B48" s="55">
        <f>TEXT(A48,"dddd")</f>
        <v/>
      </c>
      <c r="C48" s="57">
        <f>IF(SUMPRODUCT(--(TuesdayCoachList&lt;&gt;""))=0,"— add a Tuesday coach —",INDEX(TuesdayCoachList,MOD(14,SUMPRODUCT(--(TuesdayCoachList&lt;&gt;"")))+1))</f>
        <v/>
      </c>
      <c r="D48" s="55" t="inlineStr">
        <is>
          <t>—</t>
        </is>
      </c>
      <c r="E48" s="57" t="n"/>
    </row>
    <row r="49">
      <c r="A49" s="58">
        <f>A48+2</f>
        <v/>
      </c>
      <c r="B49" s="55">
        <f>TEXT(A49,"dddd")</f>
        <v/>
      </c>
      <c r="C49" s="57">
        <f>IFERROR(INDEX('Rotation Schedule'!$E$5:$E$20,MATCH(A49,'Rotation Schedule'!$B$5:$B$20,0)),"")</f>
        <v/>
      </c>
      <c r="D49" s="55">
        <f>IFERROR(INDEX('Rotation Schedule'!$D$5:$D$20,MATCH(A49,'Rotation Schedule'!$B$5:$B$20,0)),"")</f>
        <v/>
      </c>
      <c r="E49" s="57" t="n"/>
    </row>
    <row r="50">
      <c r="A50" s="58">
        <f>A47+7</f>
        <v/>
      </c>
      <c r="B50" s="55">
        <f>TEXT(A50,"dddd")</f>
        <v/>
      </c>
      <c r="C50" s="57">
        <f>IF(SUMPRODUCT(--(MondayCoachList&lt;&gt;""))=0,"— add a Monday coach —",INDEX(MondayCoachList,MOD(15,SUMPRODUCT(--(MondayCoachList&lt;&gt;"")))+1))</f>
        <v/>
      </c>
      <c r="D50" s="55" t="inlineStr">
        <is>
          <t>—</t>
        </is>
      </c>
      <c r="E50" s="57" t="n"/>
    </row>
    <row r="51">
      <c r="A51" s="58">
        <f>A50+1</f>
        <v/>
      </c>
      <c r="B51" s="55">
        <f>TEXT(A51,"dddd")</f>
        <v/>
      </c>
      <c r="C51" s="57">
        <f>IF(SUMPRODUCT(--(TuesdayCoachList&lt;&gt;""))=0,"— add a Tuesday coach —",INDEX(TuesdayCoachList,MOD(15,SUMPRODUCT(--(TuesdayCoachList&lt;&gt;"")))+1))</f>
        <v/>
      </c>
      <c r="D51" s="55" t="inlineStr">
        <is>
          <t>—</t>
        </is>
      </c>
      <c r="E51" s="57" t="n"/>
    </row>
    <row r="52">
      <c r="A52" s="58">
        <f>A51+2</f>
        <v/>
      </c>
      <c r="B52" s="55">
        <f>TEXT(A52,"dddd")</f>
        <v/>
      </c>
      <c r="C52" s="57">
        <f>IFERROR(INDEX('Rotation Schedule'!$E$5:$E$20,MATCH(A52,'Rotation Schedule'!$B$5:$B$20,0)),"")</f>
        <v/>
      </c>
      <c r="D52" s="55">
        <f>IFERROR(INDEX('Rotation Schedule'!$D$5:$D$20,MATCH(A52,'Rotation Schedule'!$B$5:$B$20,0)),"")</f>
        <v/>
      </c>
      <c r="E52" s="57" t="n"/>
    </row>
  </sheetData>
  <mergeCells count="2">
    <mergeCell ref="A2:E2"/>
    <mergeCell ref="A1:E1"/>
  </mergeCells>
  <conditionalFormatting sqref="A5:E52">
    <cfRule type="expression" priority="1" dxfId="8">
      <formula>OR($B5="Monday",$B5="Tuesday")</formula>
    </cfRule>
    <cfRule type="expression" priority="2" dxfId="0">
      <formula>$D5="All Team"</formula>
    </cfRule>
    <cfRule type="expression" priority="3" dxfId="5">
      <formula>$D5=Settings!$B$5</formula>
    </cfRule>
    <cfRule type="expression" priority="4" dxfId="6">
      <formula>$D5=Settings!$B$6</formula>
    </cfRule>
    <cfRule type="expression" priority="5" dxfId="7">
      <formula>$D5=Settings!$B$7</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B7B7B7"/>
    <outlinePr summaryBelow="1" summaryRight="1"/>
    <pageSetUpPr fitToPage="1"/>
  </sheetPr>
  <dimension ref="A1:F260"/>
  <sheetViews>
    <sheetView showGridLines="0" workbookViewId="0">
      <pane ySplit="4" topLeftCell="A5" activePane="bottomLeft" state="frozen"/>
      <selection pane="bottomLeft" activeCell="A1" sqref="A1"/>
    </sheetView>
  </sheetViews>
  <sheetFormatPr baseColWidth="8" defaultRowHeight="15"/>
  <cols>
    <col width="13" customWidth="1" min="1" max="1"/>
    <col width="16" customWidth="1" min="2" max="2"/>
    <col width="20" customWidth="1" min="3" max="3"/>
    <col width="14" customWidth="1" min="4" max="4"/>
    <col width="34" customWidth="1" min="5" max="5"/>
    <col width="16" customWidth="1" min="6" max="6"/>
  </cols>
  <sheetData>
    <row r="1" ht="30" customHeight="1">
      <c r="A1" s="21" t="inlineStr">
        <is>
          <t>Progress Log</t>
        </is>
      </c>
    </row>
    <row r="2">
      <c r="A2" s="2" t="inlineStr">
        <is>
          <t>One row per data point. Type straight into a blank row to add one — works on a phone. Tap the checkbox below to jump to the next open row. Filter by Athlete (Data &gt; Create a filter) to see one climber's history over the season.</t>
        </is>
      </c>
    </row>
    <row r="3">
      <c r="A3" s="22" t="inlineStr">
        <is>
          <t>New row:</t>
        </is>
      </c>
      <c r="B3" s="23" t="b">
        <v>0</v>
      </c>
      <c r="C3" s="24" t="inlineStr">
        <is>
          <t>tap TRUE to jump to the next open row</t>
        </is>
      </c>
    </row>
    <row r="4" ht="26" customHeight="1">
      <c r="A4" s="9" t="inlineStr">
        <is>
          <t>Date</t>
        </is>
      </c>
      <c r="B4" s="9" t="inlineStr">
        <is>
          <t>Athlete</t>
        </is>
      </c>
      <c r="C4" s="9" t="inlineStr">
        <is>
          <t>Metric Type</t>
        </is>
      </c>
      <c r="D4" s="9" t="inlineStr">
        <is>
          <t>Value</t>
        </is>
      </c>
      <c r="E4" s="9" t="inlineStr">
        <is>
          <t>Notes / Context</t>
        </is>
      </c>
      <c r="F4" s="9" t="inlineStr">
        <is>
          <t>Logged By</t>
        </is>
      </c>
    </row>
    <row r="5">
      <c r="A5" s="26" t="n">
        <v>46273</v>
      </c>
      <c r="B5" s="27" t="inlineStr">
        <is>
          <t>Alex Rivera</t>
        </is>
      </c>
      <c r="C5" s="27" t="inlineStr">
        <is>
          <t>Flash Grade</t>
        </is>
      </c>
      <c r="D5" s="27" t="inlineStr">
        <is>
          <t>V6</t>
        </is>
      </c>
      <c r="E5" s="28" t="inlineStr">
        <is>
          <t>Consistently flashing V6 on steep terrain now.</t>
        </is>
      </c>
      <c r="F5" s="27" t="inlineStr">
        <is>
          <t>Coach 1 Name</t>
        </is>
      </c>
    </row>
    <row r="6">
      <c r="A6" s="26" t="n">
        <v>46280</v>
      </c>
      <c r="B6" s="27" t="inlineStr">
        <is>
          <t>Alex Rivera</t>
        </is>
      </c>
      <c r="C6" s="27" t="inlineStr">
        <is>
          <t>Comp Placement</t>
        </is>
      </c>
      <c r="D6" s="27" t="inlineStr">
        <is>
          <t>2nd place</t>
        </is>
      </c>
      <c r="E6" s="28" t="inlineStr">
        <is>
          <t>Regional qualifier, strong finals performance.</t>
        </is>
      </c>
      <c r="F6" s="27" t="inlineStr">
        <is>
          <t>Coach 2 Name</t>
        </is>
      </c>
    </row>
    <row r="7">
      <c r="A7" s="26" t="n">
        <v>46273</v>
      </c>
      <c r="B7" s="27" t="inlineStr">
        <is>
          <t>Sam Nguyen</t>
        </is>
      </c>
      <c r="C7" s="27" t="inlineStr">
        <is>
          <t>Coach Note</t>
        </is>
      </c>
      <c r="D7" s="27" t="inlineStr">
        <is>
          <t>—</t>
        </is>
      </c>
      <c r="E7" s="28" t="inlineStr">
        <is>
          <t>Big improvement in foot placement accuracy this week.</t>
        </is>
      </c>
      <c r="F7" s="27" t="inlineStr">
        <is>
          <t>Your Name</t>
        </is>
      </c>
    </row>
    <row r="8">
      <c r="A8" s="30" t="n"/>
      <c r="B8" s="31" t="n"/>
      <c r="C8" s="31" t="n"/>
      <c r="D8" s="31" t="n"/>
      <c r="E8" s="32" t="n"/>
      <c r="F8" s="31" t="n"/>
    </row>
    <row r="9">
      <c r="A9" s="30" t="n"/>
      <c r="B9" s="31" t="n"/>
      <c r="C9" s="31" t="n"/>
      <c r="D9" s="31" t="n"/>
      <c r="E9" s="32" t="n"/>
      <c r="F9" s="31" t="n"/>
    </row>
    <row r="10">
      <c r="A10" s="30" t="n"/>
      <c r="B10" s="31" t="n"/>
      <c r="C10" s="31" t="n"/>
      <c r="D10" s="31" t="n"/>
      <c r="E10" s="32" t="n"/>
      <c r="F10" s="31" t="n"/>
    </row>
    <row r="11">
      <c r="A11" s="30" t="n"/>
      <c r="B11" s="31" t="n"/>
      <c r="C11" s="31" t="n"/>
      <c r="D11" s="31" t="n"/>
      <c r="E11" s="32" t="n"/>
      <c r="F11" s="31" t="n"/>
    </row>
    <row r="12">
      <c r="A12" s="30" t="n"/>
      <c r="B12" s="31" t="n"/>
      <c r="C12" s="31" t="n"/>
      <c r="D12" s="31" t="n"/>
      <c r="E12" s="32" t="n"/>
      <c r="F12" s="31" t="n"/>
    </row>
    <row r="13">
      <c r="A13" s="30" t="n"/>
      <c r="B13" s="31" t="n"/>
      <c r="C13" s="31" t="n"/>
      <c r="D13" s="31" t="n"/>
      <c r="E13" s="32" t="n"/>
      <c r="F13" s="31" t="n"/>
    </row>
    <row r="14">
      <c r="A14" s="30" t="n"/>
      <c r="B14" s="31" t="n"/>
      <c r="C14" s="31" t="n"/>
      <c r="D14" s="31" t="n"/>
      <c r="E14" s="32" t="n"/>
      <c r="F14" s="31" t="n"/>
    </row>
    <row r="15">
      <c r="A15" s="30" t="n"/>
      <c r="B15" s="31" t="n"/>
      <c r="C15" s="31" t="n"/>
      <c r="D15" s="31" t="n"/>
      <c r="E15" s="32" t="n"/>
      <c r="F15" s="31" t="n"/>
    </row>
    <row r="16">
      <c r="A16" s="30" t="n"/>
      <c r="B16" s="31" t="n"/>
      <c r="C16" s="31" t="n"/>
      <c r="D16" s="31" t="n"/>
      <c r="E16" s="32" t="n"/>
      <c r="F16" s="31" t="n"/>
    </row>
    <row r="17">
      <c r="A17" s="30" t="n"/>
      <c r="B17" s="31" t="n"/>
      <c r="C17" s="31" t="n"/>
      <c r="D17" s="31" t="n"/>
      <c r="E17" s="32" t="n"/>
      <c r="F17" s="31" t="n"/>
    </row>
    <row r="18">
      <c r="A18" s="30" t="n"/>
      <c r="B18" s="31" t="n"/>
      <c r="C18" s="31" t="n"/>
      <c r="D18" s="31" t="n"/>
      <c r="E18" s="32" t="n"/>
      <c r="F18" s="31" t="n"/>
    </row>
    <row r="19">
      <c r="A19" s="30" t="n"/>
      <c r="B19" s="31" t="n"/>
      <c r="C19" s="31" t="n"/>
      <c r="D19" s="31" t="n"/>
      <c r="E19" s="32" t="n"/>
      <c r="F19" s="31" t="n"/>
    </row>
    <row r="20">
      <c r="A20" s="30" t="n"/>
      <c r="B20" s="31" t="n"/>
      <c r="C20" s="31" t="n"/>
      <c r="D20" s="31" t="n"/>
      <c r="E20" s="32" t="n"/>
      <c r="F20" s="31" t="n"/>
    </row>
    <row r="21">
      <c r="A21" s="30" t="n"/>
      <c r="B21" s="31" t="n"/>
      <c r="C21" s="31" t="n"/>
      <c r="D21" s="31" t="n"/>
      <c r="E21" s="32" t="n"/>
      <c r="F21" s="31" t="n"/>
    </row>
    <row r="22">
      <c r="A22" s="30" t="n"/>
      <c r="B22" s="31" t="n"/>
      <c r="C22" s="31" t="n"/>
      <c r="D22" s="31" t="n"/>
      <c r="E22" s="32" t="n"/>
      <c r="F22" s="31" t="n"/>
    </row>
    <row r="23">
      <c r="A23" s="30" t="n"/>
      <c r="B23" s="31" t="n"/>
      <c r="C23" s="31" t="n"/>
      <c r="D23" s="31" t="n"/>
      <c r="E23" s="32" t="n"/>
      <c r="F23" s="31" t="n"/>
    </row>
    <row r="24">
      <c r="A24" s="30" t="n"/>
      <c r="B24" s="31" t="n"/>
      <c r="C24" s="31" t="n"/>
      <c r="D24" s="31" t="n"/>
      <c r="E24" s="32" t="n"/>
      <c r="F24" s="31" t="n"/>
    </row>
    <row r="25">
      <c r="A25" s="30" t="n"/>
      <c r="B25" s="31" t="n"/>
      <c r="C25" s="31" t="n"/>
      <c r="D25" s="31" t="n"/>
      <c r="E25" s="32" t="n"/>
      <c r="F25" s="31" t="n"/>
    </row>
    <row r="26">
      <c r="A26" s="30" t="n"/>
      <c r="B26" s="31" t="n"/>
      <c r="C26" s="31" t="n"/>
      <c r="D26" s="31" t="n"/>
      <c r="E26" s="32" t="n"/>
      <c r="F26" s="31" t="n"/>
    </row>
    <row r="27">
      <c r="A27" s="30" t="n"/>
      <c r="B27" s="31" t="n"/>
      <c r="C27" s="31" t="n"/>
      <c r="D27" s="31" t="n"/>
      <c r="E27" s="32" t="n"/>
      <c r="F27" s="31" t="n"/>
    </row>
    <row r="28">
      <c r="A28" s="30" t="n"/>
      <c r="B28" s="31" t="n"/>
      <c r="C28" s="31" t="n"/>
      <c r="D28" s="31" t="n"/>
      <c r="E28" s="32" t="n"/>
      <c r="F28" s="31" t="n"/>
    </row>
    <row r="29">
      <c r="A29" s="30" t="n"/>
      <c r="B29" s="31" t="n"/>
      <c r="C29" s="31" t="n"/>
      <c r="D29" s="31" t="n"/>
      <c r="E29" s="32" t="n"/>
      <c r="F29" s="31" t="n"/>
    </row>
    <row r="30">
      <c r="A30" s="30" t="n"/>
      <c r="B30" s="31" t="n"/>
      <c r="C30" s="31" t="n"/>
      <c r="D30" s="31" t="n"/>
      <c r="E30" s="32" t="n"/>
      <c r="F30" s="31" t="n"/>
    </row>
    <row r="31">
      <c r="A31" s="30" t="n"/>
      <c r="B31" s="31" t="n"/>
      <c r="C31" s="31" t="n"/>
      <c r="D31" s="31" t="n"/>
      <c r="E31" s="32" t="n"/>
      <c r="F31" s="31" t="n"/>
    </row>
    <row r="32">
      <c r="A32" s="30" t="n"/>
      <c r="B32" s="31" t="n"/>
      <c r="C32" s="31" t="n"/>
      <c r="D32" s="31" t="n"/>
      <c r="E32" s="32" t="n"/>
      <c r="F32" s="31" t="n"/>
    </row>
    <row r="33">
      <c r="A33" s="30" t="n"/>
      <c r="B33" s="31" t="n"/>
      <c r="C33" s="31" t="n"/>
      <c r="D33" s="31" t="n"/>
      <c r="E33" s="32" t="n"/>
      <c r="F33" s="31" t="n"/>
    </row>
    <row r="34">
      <c r="A34" s="30" t="n"/>
      <c r="B34" s="31" t="n"/>
      <c r="C34" s="31" t="n"/>
      <c r="D34" s="31" t="n"/>
      <c r="E34" s="32" t="n"/>
      <c r="F34" s="31" t="n"/>
    </row>
    <row r="35">
      <c r="A35" s="30" t="n"/>
      <c r="B35" s="31" t="n"/>
      <c r="C35" s="31" t="n"/>
      <c r="D35" s="31" t="n"/>
      <c r="E35" s="32" t="n"/>
      <c r="F35" s="31" t="n"/>
    </row>
    <row r="36">
      <c r="A36" s="30" t="n"/>
      <c r="B36" s="31" t="n"/>
      <c r="C36" s="31" t="n"/>
      <c r="D36" s="31" t="n"/>
      <c r="E36" s="32" t="n"/>
      <c r="F36" s="31" t="n"/>
    </row>
    <row r="37">
      <c r="A37" s="30" t="n"/>
      <c r="B37" s="31" t="n"/>
      <c r="C37" s="31" t="n"/>
      <c r="D37" s="31" t="n"/>
      <c r="E37" s="32" t="n"/>
      <c r="F37" s="31" t="n"/>
    </row>
    <row r="38">
      <c r="A38" s="30" t="n"/>
      <c r="B38" s="31" t="n"/>
      <c r="C38" s="31" t="n"/>
      <c r="D38" s="31" t="n"/>
      <c r="E38" s="32" t="n"/>
      <c r="F38" s="31" t="n"/>
    </row>
    <row r="39">
      <c r="A39" s="30" t="n"/>
      <c r="B39" s="31" t="n"/>
      <c r="C39" s="31" t="n"/>
      <c r="D39" s="31" t="n"/>
      <c r="E39" s="32" t="n"/>
      <c r="F39" s="31" t="n"/>
    </row>
    <row r="40">
      <c r="A40" s="30" t="n"/>
      <c r="B40" s="31" t="n"/>
      <c r="C40" s="31" t="n"/>
      <c r="D40" s="31" t="n"/>
      <c r="E40" s="32" t="n"/>
      <c r="F40" s="31" t="n"/>
    </row>
    <row r="41">
      <c r="A41" s="30" t="n"/>
      <c r="B41" s="31" t="n"/>
      <c r="C41" s="31" t="n"/>
      <c r="D41" s="31" t="n"/>
      <c r="E41" s="32" t="n"/>
      <c r="F41" s="31" t="n"/>
    </row>
    <row r="42">
      <c r="A42" s="30" t="n"/>
      <c r="B42" s="31" t="n"/>
      <c r="C42" s="31" t="n"/>
      <c r="D42" s="31" t="n"/>
      <c r="E42" s="32" t="n"/>
      <c r="F42" s="31" t="n"/>
    </row>
    <row r="43">
      <c r="A43" s="30" t="n"/>
      <c r="B43" s="31" t="n"/>
      <c r="C43" s="31" t="n"/>
      <c r="D43" s="31" t="n"/>
      <c r="E43" s="32" t="n"/>
      <c r="F43" s="31" t="n"/>
    </row>
    <row r="44">
      <c r="A44" s="30" t="n"/>
      <c r="B44" s="31" t="n"/>
      <c r="C44" s="31" t="n"/>
      <c r="D44" s="31" t="n"/>
      <c r="E44" s="32" t="n"/>
      <c r="F44" s="31" t="n"/>
    </row>
    <row r="45">
      <c r="A45" s="30" t="n"/>
      <c r="B45" s="31" t="n"/>
      <c r="C45" s="31" t="n"/>
      <c r="D45" s="31" t="n"/>
      <c r="E45" s="32" t="n"/>
      <c r="F45" s="31" t="n"/>
    </row>
    <row r="46">
      <c r="A46" s="30" t="n"/>
      <c r="B46" s="31" t="n"/>
      <c r="C46" s="31" t="n"/>
      <c r="D46" s="31" t="n"/>
      <c r="E46" s="32" t="n"/>
      <c r="F46" s="31" t="n"/>
    </row>
    <row r="47">
      <c r="A47" s="30" t="n"/>
      <c r="B47" s="31" t="n"/>
      <c r="C47" s="31" t="n"/>
      <c r="D47" s="31" t="n"/>
      <c r="E47" s="32" t="n"/>
      <c r="F47" s="31" t="n"/>
    </row>
    <row r="48">
      <c r="A48" s="30" t="n"/>
      <c r="B48" s="31" t="n"/>
      <c r="C48" s="31" t="n"/>
      <c r="D48" s="31" t="n"/>
      <c r="E48" s="32" t="n"/>
      <c r="F48" s="31" t="n"/>
    </row>
    <row r="49">
      <c r="A49" s="30" t="n"/>
      <c r="B49" s="31" t="n"/>
      <c r="C49" s="31" t="n"/>
      <c r="D49" s="31" t="n"/>
      <c r="E49" s="32" t="n"/>
      <c r="F49" s="31" t="n"/>
    </row>
    <row r="50">
      <c r="A50" s="30" t="n"/>
      <c r="B50" s="31" t="n"/>
      <c r="C50" s="31" t="n"/>
      <c r="D50" s="31" t="n"/>
      <c r="E50" s="32" t="n"/>
      <c r="F50" s="31" t="n"/>
    </row>
    <row r="51">
      <c r="A51" s="30" t="n"/>
      <c r="B51" s="31" t="n"/>
      <c r="C51" s="31" t="n"/>
      <c r="D51" s="31" t="n"/>
      <c r="E51" s="32" t="n"/>
      <c r="F51" s="31" t="n"/>
    </row>
    <row r="52">
      <c r="A52" s="30" t="n"/>
      <c r="B52" s="31" t="n"/>
      <c r="C52" s="31" t="n"/>
      <c r="D52" s="31" t="n"/>
      <c r="E52" s="32" t="n"/>
      <c r="F52" s="31" t="n"/>
    </row>
    <row r="53">
      <c r="A53" s="30" t="n"/>
      <c r="B53" s="31" t="n"/>
      <c r="C53" s="31" t="n"/>
      <c r="D53" s="31" t="n"/>
      <c r="E53" s="32" t="n"/>
      <c r="F53" s="31" t="n"/>
    </row>
    <row r="54">
      <c r="A54" s="30" t="n"/>
      <c r="B54" s="31" t="n"/>
      <c r="C54" s="31" t="n"/>
      <c r="D54" s="31" t="n"/>
      <c r="E54" s="32" t="n"/>
      <c r="F54" s="31" t="n"/>
    </row>
    <row r="55">
      <c r="A55" s="30" t="n"/>
      <c r="B55" s="31" t="n"/>
      <c r="C55" s="31" t="n"/>
      <c r="D55" s="31" t="n"/>
      <c r="E55" s="32" t="n"/>
      <c r="F55" s="31" t="n"/>
    </row>
    <row r="56">
      <c r="A56" s="30" t="n"/>
      <c r="B56" s="31" t="n"/>
      <c r="C56" s="31" t="n"/>
      <c r="D56" s="31" t="n"/>
      <c r="E56" s="32" t="n"/>
      <c r="F56" s="31" t="n"/>
    </row>
    <row r="57">
      <c r="A57" s="30" t="n"/>
      <c r="B57" s="31" t="n"/>
      <c r="C57" s="31" t="n"/>
      <c r="D57" s="31" t="n"/>
      <c r="E57" s="32" t="n"/>
      <c r="F57" s="31" t="n"/>
    </row>
    <row r="58">
      <c r="A58" s="30" t="n"/>
      <c r="B58" s="31" t="n"/>
      <c r="C58" s="31" t="n"/>
      <c r="D58" s="31" t="n"/>
      <c r="E58" s="32" t="n"/>
      <c r="F58" s="31" t="n"/>
    </row>
    <row r="59">
      <c r="A59" s="30" t="n"/>
      <c r="B59" s="31" t="n"/>
      <c r="C59" s="31" t="n"/>
      <c r="D59" s="31" t="n"/>
      <c r="E59" s="32" t="n"/>
      <c r="F59" s="31" t="n"/>
    </row>
    <row r="60">
      <c r="A60" s="30" t="n"/>
      <c r="B60" s="31" t="n"/>
      <c r="C60" s="31" t="n"/>
      <c r="D60" s="31" t="n"/>
      <c r="E60" s="32" t="n"/>
      <c r="F60" s="31" t="n"/>
    </row>
    <row r="61">
      <c r="A61" s="30" t="n"/>
      <c r="B61" s="31" t="n"/>
      <c r="C61" s="31" t="n"/>
      <c r="D61" s="31" t="n"/>
      <c r="E61" s="32" t="n"/>
      <c r="F61" s="31" t="n"/>
    </row>
    <row r="62">
      <c r="A62" s="30" t="n"/>
      <c r="B62" s="31" t="n"/>
      <c r="C62" s="31" t="n"/>
      <c r="D62" s="31" t="n"/>
      <c r="E62" s="32" t="n"/>
      <c r="F62" s="31" t="n"/>
    </row>
    <row r="63">
      <c r="A63" s="30" t="n"/>
      <c r="B63" s="31" t="n"/>
      <c r="C63" s="31" t="n"/>
      <c r="D63" s="31" t="n"/>
      <c r="E63" s="32" t="n"/>
      <c r="F63" s="31" t="n"/>
    </row>
    <row r="64">
      <c r="A64" s="30" t="n"/>
      <c r="B64" s="31" t="n"/>
      <c r="C64" s="31" t="n"/>
      <c r="D64" s="31" t="n"/>
      <c r="E64" s="32" t="n"/>
      <c r="F64" s="31" t="n"/>
    </row>
    <row r="65">
      <c r="A65" s="30" t="n"/>
      <c r="B65" s="31" t="n"/>
      <c r="C65" s="31" t="n"/>
      <c r="D65" s="31" t="n"/>
      <c r="E65" s="32" t="n"/>
      <c r="F65" s="31" t="n"/>
    </row>
    <row r="66">
      <c r="A66" s="30" t="n"/>
      <c r="B66" s="31" t="n"/>
      <c r="C66" s="31" t="n"/>
      <c r="D66" s="31" t="n"/>
      <c r="E66" s="32" t="n"/>
      <c r="F66" s="31" t="n"/>
    </row>
    <row r="67">
      <c r="A67" s="30" t="n"/>
      <c r="B67" s="31" t="n"/>
      <c r="C67" s="31" t="n"/>
      <c r="D67" s="31" t="n"/>
      <c r="E67" s="32" t="n"/>
      <c r="F67" s="31" t="n"/>
    </row>
    <row r="68">
      <c r="A68" s="30" t="n"/>
      <c r="B68" s="31" t="n"/>
      <c r="C68" s="31" t="n"/>
      <c r="D68" s="31" t="n"/>
      <c r="E68" s="32" t="n"/>
      <c r="F68" s="31" t="n"/>
    </row>
    <row r="69">
      <c r="A69" s="30" t="n"/>
      <c r="B69" s="31" t="n"/>
      <c r="C69" s="31" t="n"/>
      <c r="D69" s="31" t="n"/>
      <c r="E69" s="32" t="n"/>
      <c r="F69" s="31" t="n"/>
    </row>
    <row r="70">
      <c r="A70" s="30" t="n"/>
      <c r="B70" s="31" t="n"/>
      <c r="C70" s="31" t="n"/>
      <c r="D70" s="31" t="n"/>
      <c r="E70" s="32" t="n"/>
      <c r="F70" s="31" t="n"/>
    </row>
    <row r="71">
      <c r="A71" s="30" t="n"/>
      <c r="B71" s="31" t="n"/>
      <c r="C71" s="31" t="n"/>
      <c r="D71" s="31" t="n"/>
      <c r="E71" s="32" t="n"/>
      <c r="F71" s="31" t="n"/>
    </row>
    <row r="72">
      <c r="A72" s="30" t="n"/>
      <c r="B72" s="31" t="n"/>
      <c r="C72" s="31" t="n"/>
      <c r="D72" s="31" t="n"/>
      <c r="E72" s="32" t="n"/>
      <c r="F72" s="31" t="n"/>
    </row>
    <row r="73">
      <c r="A73" s="30" t="n"/>
      <c r="B73" s="31" t="n"/>
      <c r="C73" s="31" t="n"/>
      <c r="D73" s="31" t="n"/>
      <c r="E73" s="32" t="n"/>
      <c r="F73" s="31" t="n"/>
    </row>
    <row r="74">
      <c r="A74" s="30" t="n"/>
      <c r="B74" s="31" t="n"/>
      <c r="C74" s="31" t="n"/>
      <c r="D74" s="31" t="n"/>
      <c r="E74" s="32" t="n"/>
      <c r="F74" s="31" t="n"/>
    </row>
    <row r="75">
      <c r="A75" s="30" t="n"/>
      <c r="B75" s="31" t="n"/>
      <c r="C75" s="31" t="n"/>
      <c r="D75" s="31" t="n"/>
      <c r="E75" s="32" t="n"/>
      <c r="F75" s="31" t="n"/>
    </row>
    <row r="76">
      <c r="A76" s="30" t="n"/>
      <c r="B76" s="31" t="n"/>
      <c r="C76" s="31" t="n"/>
      <c r="D76" s="31" t="n"/>
      <c r="E76" s="32" t="n"/>
      <c r="F76" s="31" t="n"/>
    </row>
    <row r="77">
      <c r="A77" s="30" t="n"/>
      <c r="B77" s="31" t="n"/>
      <c r="C77" s="31" t="n"/>
      <c r="D77" s="31" t="n"/>
      <c r="E77" s="32" t="n"/>
      <c r="F77" s="31" t="n"/>
    </row>
    <row r="78">
      <c r="A78" s="30" t="n"/>
      <c r="B78" s="31" t="n"/>
      <c r="C78" s="31" t="n"/>
      <c r="D78" s="31" t="n"/>
      <c r="E78" s="32" t="n"/>
      <c r="F78" s="31" t="n"/>
    </row>
    <row r="79">
      <c r="A79" s="30" t="n"/>
      <c r="B79" s="31" t="n"/>
      <c r="C79" s="31" t="n"/>
      <c r="D79" s="31" t="n"/>
      <c r="E79" s="32" t="n"/>
      <c r="F79" s="31" t="n"/>
    </row>
    <row r="80">
      <c r="A80" s="30" t="n"/>
      <c r="B80" s="31" t="n"/>
      <c r="C80" s="31" t="n"/>
      <c r="D80" s="31" t="n"/>
      <c r="E80" s="32" t="n"/>
      <c r="F80" s="31" t="n"/>
    </row>
    <row r="81">
      <c r="A81" s="30" t="n"/>
      <c r="B81" s="31" t="n"/>
      <c r="C81" s="31" t="n"/>
      <c r="D81" s="31" t="n"/>
      <c r="E81" s="32" t="n"/>
      <c r="F81" s="31" t="n"/>
    </row>
    <row r="82">
      <c r="A82" s="30" t="n"/>
      <c r="B82" s="31" t="n"/>
      <c r="C82" s="31" t="n"/>
      <c r="D82" s="31" t="n"/>
      <c r="E82" s="32" t="n"/>
      <c r="F82" s="31" t="n"/>
    </row>
    <row r="83">
      <c r="A83" s="30" t="n"/>
      <c r="B83" s="31" t="n"/>
      <c r="C83" s="31" t="n"/>
      <c r="D83" s="31" t="n"/>
      <c r="E83" s="32" t="n"/>
      <c r="F83" s="31" t="n"/>
    </row>
    <row r="84">
      <c r="A84" s="30" t="n"/>
      <c r="B84" s="31" t="n"/>
      <c r="C84" s="31" t="n"/>
      <c r="D84" s="31" t="n"/>
      <c r="E84" s="32" t="n"/>
      <c r="F84" s="31" t="n"/>
    </row>
    <row r="85">
      <c r="A85" s="30" t="n"/>
      <c r="B85" s="31" t="n"/>
      <c r="C85" s="31" t="n"/>
      <c r="D85" s="31" t="n"/>
      <c r="E85" s="32" t="n"/>
      <c r="F85" s="31" t="n"/>
    </row>
    <row r="86">
      <c r="A86" s="30" t="n"/>
      <c r="B86" s="31" t="n"/>
      <c r="C86" s="31" t="n"/>
      <c r="D86" s="31" t="n"/>
      <c r="E86" s="32" t="n"/>
      <c r="F86" s="31" t="n"/>
    </row>
    <row r="87">
      <c r="A87" s="30" t="n"/>
      <c r="B87" s="31" t="n"/>
      <c r="C87" s="31" t="n"/>
      <c r="D87" s="31" t="n"/>
      <c r="E87" s="32" t="n"/>
      <c r="F87" s="31" t="n"/>
    </row>
    <row r="88">
      <c r="A88" s="30" t="n"/>
      <c r="B88" s="31" t="n"/>
      <c r="C88" s="31" t="n"/>
      <c r="D88" s="31" t="n"/>
      <c r="E88" s="32" t="n"/>
      <c r="F88" s="31" t="n"/>
    </row>
    <row r="89">
      <c r="A89" s="30" t="n"/>
      <c r="B89" s="31" t="n"/>
      <c r="C89" s="31" t="n"/>
      <c r="D89" s="31" t="n"/>
      <c r="E89" s="32" t="n"/>
      <c r="F89" s="31" t="n"/>
    </row>
    <row r="90">
      <c r="A90" s="30" t="n"/>
      <c r="B90" s="31" t="n"/>
      <c r="C90" s="31" t="n"/>
      <c r="D90" s="31" t="n"/>
      <c r="E90" s="32" t="n"/>
      <c r="F90" s="31" t="n"/>
    </row>
    <row r="91">
      <c r="A91" s="30" t="n"/>
      <c r="B91" s="31" t="n"/>
      <c r="C91" s="31" t="n"/>
      <c r="D91" s="31" t="n"/>
      <c r="E91" s="32" t="n"/>
      <c r="F91" s="31" t="n"/>
    </row>
    <row r="92">
      <c r="A92" s="30" t="n"/>
      <c r="B92" s="31" t="n"/>
      <c r="C92" s="31" t="n"/>
      <c r="D92" s="31" t="n"/>
      <c r="E92" s="32" t="n"/>
      <c r="F92" s="31" t="n"/>
    </row>
    <row r="93">
      <c r="A93" s="30" t="n"/>
      <c r="B93" s="31" t="n"/>
      <c r="C93" s="31" t="n"/>
      <c r="D93" s="31" t="n"/>
      <c r="E93" s="32" t="n"/>
      <c r="F93" s="31" t="n"/>
    </row>
    <row r="94">
      <c r="A94" s="30" t="n"/>
      <c r="B94" s="31" t="n"/>
      <c r="C94" s="31" t="n"/>
      <c r="D94" s="31" t="n"/>
      <c r="E94" s="32" t="n"/>
      <c r="F94" s="31" t="n"/>
    </row>
    <row r="95">
      <c r="A95" s="30" t="n"/>
      <c r="B95" s="31" t="n"/>
      <c r="C95" s="31" t="n"/>
      <c r="D95" s="31" t="n"/>
      <c r="E95" s="32" t="n"/>
      <c r="F95" s="31" t="n"/>
    </row>
    <row r="96">
      <c r="A96" s="30" t="n"/>
      <c r="B96" s="31" t="n"/>
      <c r="C96" s="31" t="n"/>
      <c r="D96" s="31" t="n"/>
      <c r="E96" s="32" t="n"/>
      <c r="F96" s="31" t="n"/>
    </row>
    <row r="97">
      <c r="A97" s="30" t="n"/>
      <c r="B97" s="31" t="n"/>
      <c r="C97" s="31" t="n"/>
      <c r="D97" s="31" t="n"/>
      <c r="E97" s="32" t="n"/>
      <c r="F97" s="31" t="n"/>
    </row>
    <row r="98">
      <c r="A98" s="30" t="n"/>
      <c r="B98" s="31" t="n"/>
      <c r="C98" s="31" t="n"/>
      <c r="D98" s="31" t="n"/>
      <c r="E98" s="32" t="n"/>
      <c r="F98" s="31" t="n"/>
    </row>
    <row r="99">
      <c r="A99" s="30" t="n"/>
      <c r="B99" s="31" t="n"/>
      <c r="C99" s="31" t="n"/>
      <c r="D99" s="31" t="n"/>
      <c r="E99" s="32" t="n"/>
      <c r="F99" s="31" t="n"/>
    </row>
    <row r="100">
      <c r="A100" s="30" t="n"/>
      <c r="B100" s="31" t="n"/>
      <c r="C100" s="31" t="n"/>
      <c r="D100" s="31" t="n"/>
      <c r="E100" s="32" t="n"/>
      <c r="F100" s="31" t="n"/>
    </row>
    <row r="101">
      <c r="A101" s="30" t="n"/>
      <c r="B101" s="31" t="n"/>
      <c r="C101" s="31" t="n"/>
      <c r="D101" s="31" t="n"/>
      <c r="E101" s="32" t="n"/>
      <c r="F101" s="31" t="n"/>
    </row>
    <row r="102">
      <c r="A102" s="30" t="n"/>
      <c r="B102" s="31" t="n"/>
      <c r="C102" s="31" t="n"/>
      <c r="D102" s="31" t="n"/>
      <c r="E102" s="32" t="n"/>
      <c r="F102" s="31" t="n"/>
    </row>
    <row r="103">
      <c r="A103" s="30" t="n"/>
      <c r="B103" s="31" t="n"/>
      <c r="C103" s="31" t="n"/>
      <c r="D103" s="31" t="n"/>
      <c r="E103" s="32" t="n"/>
      <c r="F103" s="31" t="n"/>
    </row>
    <row r="104">
      <c r="A104" s="30" t="n"/>
      <c r="B104" s="31" t="n"/>
      <c r="C104" s="31" t="n"/>
      <c r="D104" s="31" t="n"/>
      <c r="E104" s="32" t="n"/>
      <c r="F104" s="31" t="n"/>
    </row>
    <row r="105">
      <c r="A105" s="30" t="n"/>
      <c r="B105" s="31" t="n"/>
      <c r="C105" s="31" t="n"/>
      <c r="D105" s="31" t="n"/>
      <c r="E105" s="32" t="n"/>
      <c r="F105" s="31" t="n"/>
    </row>
    <row r="106">
      <c r="A106" s="30" t="n"/>
      <c r="B106" s="31" t="n"/>
      <c r="C106" s="31" t="n"/>
      <c r="D106" s="31" t="n"/>
      <c r="E106" s="32" t="n"/>
      <c r="F106" s="31" t="n"/>
    </row>
    <row r="107">
      <c r="A107" s="30" t="n"/>
      <c r="B107" s="31" t="n"/>
      <c r="C107" s="31" t="n"/>
      <c r="D107" s="31" t="n"/>
      <c r="E107" s="32" t="n"/>
      <c r="F107" s="31" t="n"/>
    </row>
    <row r="108">
      <c r="A108" s="30" t="n"/>
      <c r="B108" s="31" t="n"/>
      <c r="C108" s="31" t="n"/>
      <c r="D108" s="31" t="n"/>
      <c r="E108" s="32" t="n"/>
      <c r="F108" s="31" t="n"/>
    </row>
    <row r="109">
      <c r="A109" s="30" t="n"/>
      <c r="B109" s="31" t="n"/>
      <c r="C109" s="31" t="n"/>
      <c r="D109" s="31" t="n"/>
      <c r="E109" s="32" t="n"/>
      <c r="F109" s="31" t="n"/>
    </row>
    <row r="110">
      <c r="A110" s="30" t="n"/>
      <c r="B110" s="31" t="n"/>
      <c r="C110" s="31" t="n"/>
      <c r="D110" s="31" t="n"/>
      <c r="E110" s="32" t="n"/>
      <c r="F110" s="31" t="n"/>
    </row>
    <row r="111">
      <c r="A111" s="30" t="n"/>
      <c r="B111" s="31" t="n"/>
      <c r="C111" s="31" t="n"/>
      <c r="D111" s="31" t="n"/>
      <c r="E111" s="32" t="n"/>
      <c r="F111" s="31" t="n"/>
    </row>
    <row r="112">
      <c r="A112" s="30" t="n"/>
      <c r="B112" s="31" t="n"/>
      <c r="C112" s="31" t="n"/>
      <c r="D112" s="31" t="n"/>
      <c r="E112" s="32" t="n"/>
      <c r="F112" s="31" t="n"/>
    </row>
    <row r="113">
      <c r="A113" s="30" t="n"/>
      <c r="B113" s="31" t="n"/>
      <c r="C113" s="31" t="n"/>
      <c r="D113" s="31" t="n"/>
      <c r="E113" s="32" t="n"/>
      <c r="F113" s="31" t="n"/>
    </row>
    <row r="114">
      <c r="A114" s="30" t="n"/>
      <c r="B114" s="31" t="n"/>
      <c r="C114" s="31" t="n"/>
      <c r="D114" s="31" t="n"/>
      <c r="E114" s="32" t="n"/>
      <c r="F114" s="31" t="n"/>
    </row>
    <row r="115">
      <c r="A115" s="30" t="n"/>
      <c r="B115" s="31" t="n"/>
      <c r="C115" s="31" t="n"/>
      <c r="D115" s="31" t="n"/>
      <c r="E115" s="32" t="n"/>
      <c r="F115" s="31" t="n"/>
    </row>
    <row r="116">
      <c r="A116" s="30" t="n"/>
      <c r="B116" s="31" t="n"/>
      <c r="C116" s="31" t="n"/>
      <c r="D116" s="31" t="n"/>
      <c r="E116" s="32" t="n"/>
      <c r="F116" s="31" t="n"/>
    </row>
    <row r="117">
      <c r="A117" s="30" t="n"/>
      <c r="B117" s="31" t="n"/>
      <c r="C117" s="31" t="n"/>
      <c r="D117" s="31" t="n"/>
      <c r="E117" s="32" t="n"/>
      <c r="F117" s="31" t="n"/>
    </row>
    <row r="118">
      <c r="A118" s="30" t="n"/>
      <c r="B118" s="31" t="n"/>
      <c r="C118" s="31" t="n"/>
      <c r="D118" s="31" t="n"/>
      <c r="E118" s="32" t="n"/>
      <c r="F118" s="31" t="n"/>
    </row>
    <row r="119">
      <c r="A119" s="30" t="n"/>
      <c r="B119" s="31" t="n"/>
      <c r="C119" s="31" t="n"/>
      <c r="D119" s="31" t="n"/>
      <c r="E119" s="32" t="n"/>
      <c r="F119" s="31" t="n"/>
    </row>
    <row r="120">
      <c r="A120" s="30" t="n"/>
      <c r="B120" s="31" t="n"/>
      <c r="C120" s="31" t="n"/>
      <c r="D120" s="31" t="n"/>
      <c r="E120" s="32" t="n"/>
      <c r="F120" s="31" t="n"/>
    </row>
    <row r="121">
      <c r="A121" s="30" t="n"/>
      <c r="B121" s="31" t="n"/>
      <c r="C121" s="31" t="n"/>
      <c r="D121" s="31" t="n"/>
      <c r="E121" s="32" t="n"/>
      <c r="F121" s="31" t="n"/>
    </row>
    <row r="122">
      <c r="A122" s="30" t="n"/>
      <c r="B122" s="31" t="n"/>
      <c r="C122" s="31" t="n"/>
      <c r="D122" s="31" t="n"/>
      <c r="E122" s="32" t="n"/>
      <c r="F122" s="31" t="n"/>
    </row>
    <row r="123">
      <c r="A123" s="30" t="n"/>
      <c r="B123" s="31" t="n"/>
      <c r="C123" s="31" t="n"/>
      <c r="D123" s="31" t="n"/>
      <c r="E123" s="32" t="n"/>
      <c r="F123" s="31" t="n"/>
    </row>
    <row r="124">
      <c r="A124" s="30" t="n"/>
      <c r="B124" s="31" t="n"/>
      <c r="C124" s="31" t="n"/>
      <c r="D124" s="31" t="n"/>
      <c r="E124" s="32" t="n"/>
      <c r="F124" s="31" t="n"/>
    </row>
    <row r="125">
      <c r="A125" s="30" t="n"/>
      <c r="B125" s="31" t="n"/>
      <c r="C125" s="31" t="n"/>
      <c r="D125" s="31" t="n"/>
      <c r="E125" s="32" t="n"/>
      <c r="F125" s="31" t="n"/>
    </row>
    <row r="126">
      <c r="A126" s="30" t="n"/>
      <c r="B126" s="31" t="n"/>
      <c r="C126" s="31" t="n"/>
      <c r="D126" s="31" t="n"/>
      <c r="E126" s="32" t="n"/>
      <c r="F126" s="31" t="n"/>
    </row>
    <row r="127">
      <c r="A127" s="30" t="n"/>
      <c r="B127" s="31" t="n"/>
      <c r="C127" s="31" t="n"/>
      <c r="D127" s="31" t="n"/>
      <c r="E127" s="32" t="n"/>
      <c r="F127" s="31" t="n"/>
    </row>
    <row r="128">
      <c r="A128" s="30" t="n"/>
      <c r="B128" s="31" t="n"/>
      <c r="C128" s="31" t="n"/>
      <c r="D128" s="31" t="n"/>
      <c r="E128" s="32" t="n"/>
      <c r="F128" s="31" t="n"/>
    </row>
    <row r="129">
      <c r="A129" s="30" t="n"/>
      <c r="B129" s="31" t="n"/>
      <c r="C129" s="31" t="n"/>
      <c r="D129" s="31" t="n"/>
      <c r="E129" s="32" t="n"/>
      <c r="F129" s="31" t="n"/>
    </row>
    <row r="130">
      <c r="A130" s="30" t="n"/>
      <c r="B130" s="31" t="n"/>
      <c r="C130" s="31" t="n"/>
      <c r="D130" s="31" t="n"/>
      <c r="E130" s="32" t="n"/>
      <c r="F130" s="31" t="n"/>
    </row>
    <row r="131">
      <c r="A131" s="30" t="n"/>
      <c r="B131" s="31" t="n"/>
      <c r="C131" s="31" t="n"/>
      <c r="D131" s="31" t="n"/>
      <c r="E131" s="32" t="n"/>
      <c r="F131" s="31" t="n"/>
    </row>
    <row r="132">
      <c r="A132" s="30" t="n"/>
      <c r="B132" s="31" t="n"/>
      <c r="C132" s="31" t="n"/>
      <c r="D132" s="31" t="n"/>
      <c r="E132" s="32" t="n"/>
      <c r="F132" s="31" t="n"/>
    </row>
    <row r="133">
      <c r="A133" s="30" t="n"/>
      <c r="B133" s="31" t="n"/>
      <c r="C133" s="31" t="n"/>
      <c r="D133" s="31" t="n"/>
      <c r="E133" s="32" t="n"/>
      <c r="F133" s="31" t="n"/>
    </row>
    <row r="134">
      <c r="A134" s="30" t="n"/>
      <c r="B134" s="31" t="n"/>
      <c r="C134" s="31" t="n"/>
      <c r="D134" s="31" t="n"/>
      <c r="E134" s="32" t="n"/>
      <c r="F134" s="31" t="n"/>
    </row>
    <row r="135">
      <c r="A135" s="30" t="n"/>
      <c r="B135" s="31" t="n"/>
      <c r="C135" s="31" t="n"/>
      <c r="D135" s="31" t="n"/>
      <c r="E135" s="32" t="n"/>
      <c r="F135" s="31" t="n"/>
    </row>
    <row r="136">
      <c r="A136" s="30" t="n"/>
      <c r="B136" s="31" t="n"/>
      <c r="C136" s="31" t="n"/>
      <c r="D136" s="31" t="n"/>
      <c r="E136" s="32" t="n"/>
      <c r="F136" s="31" t="n"/>
    </row>
    <row r="137">
      <c r="A137" s="30" t="n"/>
      <c r="B137" s="31" t="n"/>
      <c r="C137" s="31" t="n"/>
      <c r="D137" s="31" t="n"/>
      <c r="E137" s="32" t="n"/>
      <c r="F137" s="31" t="n"/>
    </row>
    <row r="138">
      <c r="A138" s="30" t="n"/>
      <c r="B138" s="31" t="n"/>
      <c r="C138" s="31" t="n"/>
      <c r="D138" s="31" t="n"/>
      <c r="E138" s="32" t="n"/>
      <c r="F138" s="31" t="n"/>
    </row>
    <row r="139">
      <c r="A139" s="30" t="n"/>
      <c r="B139" s="31" t="n"/>
      <c r="C139" s="31" t="n"/>
      <c r="D139" s="31" t="n"/>
      <c r="E139" s="32" t="n"/>
      <c r="F139" s="31" t="n"/>
    </row>
    <row r="140">
      <c r="A140" s="30" t="n"/>
      <c r="B140" s="31" t="n"/>
      <c r="C140" s="31" t="n"/>
      <c r="D140" s="31" t="n"/>
      <c r="E140" s="32" t="n"/>
      <c r="F140" s="31" t="n"/>
    </row>
    <row r="141">
      <c r="A141" s="30" t="n"/>
      <c r="B141" s="31" t="n"/>
      <c r="C141" s="31" t="n"/>
      <c r="D141" s="31" t="n"/>
      <c r="E141" s="32" t="n"/>
      <c r="F141" s="31" t="n"/>
    </row>
    <row r="142">
      <c r="A142" s="30" t="n"/>
      <c r="B142" s="31" t="n"/>
      <c r="C142" s="31" t="n"/>
      <c r="D142" s="31" t="n"/>
      <c r="E142" s="32" t="n"/>
      <c r="F142" s="31" t="n"/>
    </row>
    <row r="143">
      <c r="A143" s="30" t="n"/>
      <c r="B143" s="31" t="n"/>
      <c r="C143" s="31" t="n"/>
      <c r="D143" s="31" t="n"/>
      <c r="E143" s="32" t="n"/>
      <c r="F143" s="31" t="n"/>
    </row>
    <row r="144">
      <c r="A144" s="30" t="n"/>
      <c r="B144" s="31" t="n"/>
      <c r="C144" s="31" t="n"/>
      <c r="D144" s="31" t="n"/>
      <c r="E144" s="32" t="n"/>
      <c r="F144" s="31" t="n"/>
    </row>
    <row r="145">
      <c r="A145" s="30" t="n"/>
      <c r="B145" s="31" t="n"/>
      <c r="C145" s="31" t="n"/>
      <c r="D145" s="31" t="n"/>
      <c r="E145" s="32" t="n"/>
      <c r="F145" s="31" t="n"/>
    </row>
    <row r="146">
      <c r="A146" s="30" t="n"/>
      <c r="B146" s="31" t="n"/>
      <c r="C146" s="31" t="n"/>
      <c r="D146" s="31" t="n"/>
      <c r="E146" s="32" t="n"/>
      <c r="F146" s="31" t="n"/>
    </row>
    <row r="147">
      <c r="A147" s="30" t="n"/>
      <c r="B147" s="31" t="n"/>
      <c r="C147" s="31" t="n"/>
      <c r="D147" s="31" t="n"/>
      <c r="E147" s="32" t="n"/>
      <c r="F147" s="31" t="n"/>
    </row>
    <row r="148">
      <c r="A148" s="30" t="n"/>
      <c r="B148" s="31" t="n"/>
      <c r="C148" s="31" t="n"/>
      <c r="D148" s="31" t="n"/>
      <c r="E148" s="32" t="n"/>
      <c r="F148" s="31" t="n"/>
    </row>
    <row r="149">
      <c r="A149" s="30" t="n"/>
      <c r="B149" s="31" t="n"/>
      <c r="C149" s="31" t="n"/>
      <c r="D149" s="31" t="n"/>
      <c r="E149" s="32" t="n"/>
      <c r="F149" s="31" t="n"/>
    </row>
    <row r="150">
      <c r="A150" s="30" t="n"/>
      <c r="B150" s="31" t="n"/>
      <c r="C150" s="31" t="n"/>
      <c r="D150" s="31" t="n"/>
      <c r="E150" s="32" t="n"/>
      <c r="F150" s="31" t="n"/>
    </row>
    <row r="151">
      <c r="A151" s="30" t="n"/>
      <c r="B151" s="31" t="n"/>
      <c r="C151" s="31" t="n"/>
      <c r="D151" s="31" t="n"/>
      <c r="E151" s="32" t="n"/>
      <c r="F151" s="31" t="n"/>
    </row>
    <row r="152">
      <c r="A152" s="30" t="n"/>
      <c r="B152" s="31" t="n"/>
      <c r="C152" s="31" t="n"/>
      <c r="D152" s="31" t="n"/>
      <c r="E152" s="32" t="n"/>
      <c r="F152" s="31" t="n"/>
    </row>
    <row r="153">
      <c r="A153" s="30" t="n"/>
      <c r="B153" s="31" t="n"/>
      <c r="C153" s="31" t="n"/>
      <c r="D153" s="31" t="n"/>
      <c r="E153" s="32" t="n"/>
      <c r="F153" s="31" t="n"/>
    </row>
    <row r="154">
      <c r="A154" s="30" t="n"/>
      <c r="B154" s="31" t="n"/>
      <c r="C154" s="31" t="n"/>
      <c r="D154" s="31" t="n"/>
      <c r="E154" s="32" t="n"/>
      <c r="F154" s="31" t="n"/>
    </row>
    <row r="155">
      <c r="A155" s="30" t="n"/>
      <c r="B155" s="31" t="n"/>
      <c r="C155" s="31" t="n"/>
      <c r="D155" s="31" t="n"/>
      <c r="E155" s="32" t="n"/>
      <c r="F155" s="31" t="n"/>
    </row>
    <row r="156">
      <c r="A156" s="30" t="n"/>
      <c r="B156" s="31" t="n"/>
      <c r="C156" s="31" t="n"/>
      <c r="D156" s="31" t="n"/>
      <c r="E156" s="32" t="n"/>
      <c r="F156" s="31" t="n"/>
    </row>
    <row r="157">
      <c r="A157" s="30" t="n"/>
      <c r="B157" s="31" t="n"/>
      <c r="C157" s="31" t="n"/>
      <c r="D157" s="31" t="n"/>
      <c r="E157" s="32" t="n"/>
      <c r="F157" s="31" t="n"/>
    </row>
    <row r="158">
      <c r="A158" s="30" t="n"/>
      <c r="B158" s="31" t="n"/>
      <c r="C158" s="31" t="n"/>
      <c r="D158" s="31" t="n"/>
      <c r="E158" s="32" t="n"/>
      <c r="F158" s="31" t="n"/>
    </row>
    <row r="159">
      <c r="A159" s="30" t="n"/>
      <c r="B159" s="31" t="n"/>
      <c r="C159" s="31" t="n"/>
      <c r="D159" s="31" t="n"/>
      <c r="E159" s="32" t="n"/>
      <c r="F159" s="31" t="n"/>
    </row>
    <row r="160">
      <c r="A160" s="30" t="n"/>
      <c r="B160" s="31" t="n"/>
      <c r="C160" s="31" t="n"/>
      <c r="D160" s="31" t="n"/>
      <c r="E160" s="32" t="n"/>
      <c r="F160" s="31" t="n"/>
    </row>
    <row r="161">
      <c r="A161" s="30" t="n"/>
      <c r="B161" s="31" t="n"/>
      <c r="C161" s="31" t="n"/>
      <c r="D161" s="31" t="n"/>
      <c r="E161" s="32" t="n"/>
      <c r="F161" s="31" t="n"/>
    </row>
    <row r="162">
      <c r="A162" s="30" t="n"/>
      <c r="B162" s="31" t="n"/>
      <c r="C162" s="31" t="n"/>
      <c r="D162" s="31" t="n"/>
      <c r="E162" s="32" t="n"/>
      <c r="F162" s="31" t="n"/>
    </row>
    <row r="163">
      <c r="A163" s="30" t="n"/>
      <c r="B163" s="31" t="n"/>
      <c r="C163" s="31" t="n"/>
      <c r="D163" s="31" t="n"/>
      <c r="E163" s="32" t="n"/>
      <c r="F163" s="31" t="n"/>
    </row>
    <row r="164">
      <c r="A164" s="30" t="n"/>
      <c r="B164" s="31" t="n"/>
      <c r="C164" s="31" t="n"/>
      <c r="D164" s="31" t="n"/>
      <c r="E164" s="32" t="n"/>
      <c r="F164" s="31" t="n"/>
    </row>
    <row r="165">
      <c r="A165" s="30" t="n"/>
      <c r="B165" s="31" t="n"/>
      <c r="C165" s="31" t="n"/>
      <c r="D165" s="31" t="n"/>
      <c r="E165" s="32" t="n"/>
      <c r="F165" s="31" t="n"/>
    </row>
    <row r="166">
      <c r="A166" s="30" t="n"/>
      <c r="B166" s="31" t="n"/>
      <c r="C166" s="31" t="n"/>
      <c r="D166" s="31" t="n"/>
      <c r="E166" s="32" t="n"/>
      <c r="F166" s="31" t="n"/>
    </row>
    <row r="167">
      <c r="A167" s="30" t="n"/>
      <c r="B167" s="31" t="n"/>
      <c r="C167" s="31" t="n"/>
      <c r="D167" s="31" t="n"/>
      <c r="E167" s="32" t="n"/>
      <c r="F167" s="31" t="n"/>
    </row>
    <row r="168">
      <c r="A168" s="30" t="n"/>
      <c r="B168" s="31" t="n"/>
      <c r="C168" s="31" t="n"/>
      <c r="D168" s="31" t="n"/>
      <c r="E168" s="32" t="n"/>
      <c r="F168" s="31" t="n"/>
    </row>
    <row r="169">
      <c r="A169" s="30" t="n"/>
      <c r="B169" s="31" t="n"/>
      <c r="C169" s="31" t="n"/>
      <c r="D169" s="31" t="n"/>
      <c r="E169" s="32" t="n"/>
      <c r="F169" s="31" t="n"/>
    </row>
    <row r="170">
      <c r="A170" s="30" t="n"/>
      <c r="B170" s="31" t="n"/>
      <c r="C170" s="31" t="n"/>
      <c r="D170" s="31" t="n"/>
      <c r="E170" s="32" t="n"/>
      <c r="F170" s="31" t="n"/>
    </row>
    <row r="171">
      <c r="A171" s="30" t="n"/>
      <c r="B171" s="31" t="n"/>
      <c r="C171" s="31" t="n"/>
      <c r="D171" s="31" t="n"/>
      <c r="E171" s="32" t="n"/>
      <c r="F171" s="31" t="n"/>
    </row>
    <row r="172">
      <c r="A172" s="30" t="n"/>
      <c r="B172" s="31" t="n"/>
      <c r="C172" s="31" t="n"/>
      <c r="D172" s="31" t="n"/>
      <c r="E172" s="32" t="n"/>
      <c r="F172" s="31" t="n"/>
    </row>
    <row r="173">
      <c r="A173" s="30" t="n"/>
      <c r="B173" s="31" t="n"/>
      <c r="C173" s="31" t="n"/>
      <c r="D173" s="31" t="n"/>
      <c r="E173" s="32" t="n"/>
      <c r="F173" s="31" t="n"/>
    </row>
    <row r="174">
      <c r="A174" s="30" t="n"/>
      <c r="B174" s="31" t="n"/>
      <c r="C174" s="31" t="n"/>
      <c r="D174" s="31" t="n"/>
      <c r="E174" s="32" t="n"/>
      <c r="F174" s="31" t="n"/>
    </row>
    <row r="175">
      <c r="A175" s="30" t="n"/>
      <c r="B175" s="31" t="n"/>
      <c r="C175" s="31" t="n"/>
      <c r="D175" s="31" t="n"/>
      <c r="E175" s="32" t="n"/>
      <c r="F175" s="31" t="n"/>
    </row>
    <row r="176">
      <c r="A176" s="30" t="n"/>
      <c r="B176" s="31" t="n"/>
      <c r="C176" s="31" t="n"/>
      <c r="D176" s="31" t="n"/>
      <c r="E176" s="32" t="n"/>
      <c r="F176" s="31" t="n"/>
    </row>
    <row r="177">
      <c r="A177" s="30" t="n"/>
      <c r="B177" s="31" t="n"/>
      <c r="C177" s="31" t="n"/>
      <c r="D177" s="31" t="n"/>
      <c r="E177" s="32" t="n"/>
      <c r="F177" s="31" t="n"/>
    </row>
    <row r="178">
      <c r="A178" s="30" t="n"/>
      <c r="B178" s="31" t="n"/>
      <c r="C178" s="31" t="n"/>
      <c r="D178" s="31" t="n"/>
      <c r="E178" s="32" t="n"/>
      <c r="F178" s="31" t="n"/>
    </row>
    <row r="179">
      <c r="A179" s="30" t="n"/>
      <c r="B179" s="31" t="n"/>
      <c r="C179" s="31" t="n"/>
      <c r="D179" s="31" t="n"/>
      <c r="E179" s="32" t="n"/>
      <c r="F179" s="31" t="n"/>
    </row>
    <row r="180">
      <c r="A180" s="30" t="n"/>
      <c r="B180" s="31" t="n"/>
      <c r="C180" s="31" t="n"/>
      <c r="D180" s="31" t="n"/>
      <c r="E180" s="32" t="n"/>
      <c r="F180" s="31" t="n"/>
    </row>
    <row r="181">
      <c r="A181" s="30" t="n"/>
      <c r="B181" s="31" t="n"/>
      <c r="C181" s="31" t="n"/>
      <c r="D181" s="31" t="n"/>
      <c r="E181" s="32" t="n"/>
      <c r="F181" s="31" t="n"/>
    </row>
    <row r="182">
      <c r="A182" s="30" t="n"/>
      <c r="B182" s="31" t="n"/>
      <c r="C182" s="31" t="n"/>
      <c r="D182" s="31" t="n"/>
      <c r="E182" s="32" t="n"/>
      <c r="F182" s="31" t="n"/>
    </row>
    <row r="183">
      <c r="A183" s="30" t="n"/>
      <c r="B183" s="31" t="n"/>
      <c r="C183" s="31" t="n"/>
      <c r="D183" s="31" t="n"/>
      <c r="E183" s="32" t="n"/>
      <c r="F183" s="31" t="n"/>
    </row>
    <row r="184">
      <c r="A184" s="30" t="n"/>
      <c r="B184" s="31" t="n"/>
      <c r="C184" s="31" t="n"/>
      <c r="D184" s="31" t="n"/>
      <c r="E184" s="32" t="n"/>
      <c r="F184" s="31" t="n"/>
    </row>
    <row r="185">
      <c r="A185" s="30" t="n"/>
      <c r="B185" s="31" t="n"/>
      <c r="C185" s="31" t="n"/>
      <c r="D185" s="31" t="n"/>
      <c r="E185" s="32" t="n"/>
      <c r="F185" s="31" t="n"/>
    </row>
    <row r="186">
      <c r="A186" s="30" t="n"/>
      <c r="B186" s="31" t="n"/>
      <c r="C186" s="31" t="n"/>
      <c r="D186" s="31" t="n"/>
      <c r="E186" s="32" t="n"/>
      <c r="F186" s="31" t="n"/>
    </row>
    <row r="187">
      <c r="A187" s="30" t="n"/>
      <c r="B187" s="31" t="n"/>
      <c r="C187" s="31" t="n"/>
      <c r="D187" s="31" t="n"/>
      <c r="E187" s="32" t="n"/>
      <c r="F187" s="31" t="n"/>
    </row>
    <row r="188">
      <c r="A188" s="30" t="n"/>
      <c r="B188" s="31" t="n"/>
      <c r="C188" s="31" t="n"/>
      <c r="D188" s="31" t="n"/>
      <c r="E188" s="32" t="n"/>
      <c r="F188" s="31" t="n"/>
    </row>
    <row r="189">
      <c r="A189" s="30" t="n"/>
      <c r="B189" s="31" t="n"/>
      <c r="C189" s="31" t="n"/>
      <c r="D189" s="31" t="n"/>
      <c r="E189" s="32" t="n"/>
      <c r="F189" s="31" t="n"/>
    </row>
    <row r="190">
      <c r="A190" s="30" t="n"/>
      <c r="B190" s="31" t="n"/>
      <c r="C190" s="31" t="n"/>
      <c r="D190" s="31" t="n"/>
      <c r="E190" s="32" t="n"/>
      <c r="F190" s="31" t="n"/>
    </row>
    <row r="191">
      <c r="A191" s="30" t="n"/>
      <c r="B191" s="31" t="n"/>
      <c r="C191" s="31" t="n"/>
      <c r="D191" s="31" t="n"/>
      <c r="E191" s="32" t="n"/>
      <c r="F191" s="31" t="n"/>
    </row>
    <row r="192">
      <c r="A192" s="30" t="n"/>
      <c r="B192" s="31" t="n"/>
      <c r="C192" s="31" t="n"/>
      <c r="D192" s="31" t="n"/>
      <c r="E192" s="32" t="n"/>
      <c r="F192" s="31" t="n"/>
    </row>
    <row r="193">
      <c r="A193" s="30" t="n"/>
      <c r="B193" s="31" t="n"/>
      <c r="C193" s="31" t="n"/>
      <c r="D193" s="31" t="n"/>
      <c r="E193" s="32" t="n"/>
      <c r="F193" s="31" t="n"/>
    </row>
    <row r="194">
      <c r="A194" s="30" t="n"/>
      <c r="B194" s="31" t="n"/>
      <c r="C194" s="31" t="n"/>
      <c r="D194" s="31" t="n"/>
      <c r="E194" s="32" t="n"/>
      <c r="F194" s="31" t="n"/>
    </row>
    <row r="195">
      <c r="A195" s="30" t="n"/>
      <c r="B195" s="31" t="n"/>
      <c r="C195" s="31" t="n"/>
      <c r="D195" s="31" t="n"/>
      <c r="E195" s="32" t="n"/>
      <c r="F195" s="31" t="n"/>
    </row>
    <row r="196">
      <c r="A196" s="30" t="n"/>
      <c r="B196" s="31" t="n"/>
      <c r="C196" s="31" t="n"/>
      <c r="D196" s="31" t="n"/>
      <c r="E196" s="32" t="n"/>
      <c r="F196" s="31" t="n"/>
    </row>
    <row r="197">
      <c r="A197" s="30" t="n"/>
      <c r="B197" s="31" t="n"/>
      <c r="C197" s="31" t="n"/>
      <c r="D197" s="31" t="n"/>
      <c r="E197" s="32" t="n"/>
      <c r="F197" s="31" t="n"/>
    </row>
    <row r="198">
      <c r="A198" s="30" t="n"/>
      <c r="B198" s="31" t="n"/>
      <c r="C198" s="31" t="n"/>
      <c r="D198" s="31" t="n"/>
      <c r="E198" s="32" t="n"/>
      <c r="F198" s="31" t="n"/>
    </row>
    <row r="199">
      <c r="A199" s="30" t="n"/>
      <c r="B199" s="31" t="n"/>
      <c r="C199" s="31" t="n"/>
      <c r="D199" s="31" t="n"/>
      <c r="E199" s="32" t="n"/>
      <c r="F199" s="31" t="n"/>
    </row>
    <row r="200">
      <c r="A200" s="30" t="n"/>
      <c r="B200" s="31" t="n"/>
      <c r="C200" s="31" t="n"/>
      <c r="D200" s="31" t="n"/>
      <c r="E200" s="32" t="n"/>
      <c r="F200" s="31" t="n"/>
    </row>
    <row r="201">
      <c r="A201" s="30" t="n"/>
      <c r="B201" s="31" t="n"/>
      <c r="C201" s="31" t="n"/>
      <c r="D201" s="31" t="n"/>
      <c r="E201" s="32" t="n"/>
      <c r="F201" s="31" t="n"/>
    </row>
    <row r="202">
      <c r="A202" s="30" t="n"/>
      <c r="B202" s="31" t="n"/>
      <c r="C202" s="31" t="n"/>
      <c r="D202" s="31" t="n"/>
      <c r="E202" s="32" t="n"/>
      <c r="F202" s="31" t="n"/>
    </row>
    <row r="203">
      <c r="A203" s="30" t="n"/>
      <c r="B203" s="31" t="n"/>
      <c r="C203" s="31" t="n"/>
      <c r="D203" s="31" t="n"/>
      <c r="E203" s="32" t="n"/>
      <c r="F203" s="31" t="n"/>
    </row>
    <row r="204">
      <c r="A204" s="30" t="n"/>
      <c r="B204" s="31" t="n"/>
      <c r="C204" s="31" t="n"/>
      <c r="D204" s="31" t="n"/>
      <c r="E204" s="32" t="n"/>
      <c r="F204" s="31" t="n"/>
    </row>
    <row r="205">
      <c r="A205" s="30" t="n"/>
      <c r="B205" s="31" t="n"/>
      <c r="C205" s="31" t="n"/>
      <c r="D205" s="31" t="n"/>
      <c r="E205" s="32" t="n"/>
      <c r="F205" s="31" t="n"/>
    </row>
    <row r="206">
      <c r="A206" s="30" t="n"/>
      <c r="B206" s="31" t="n"/>
      <c r="C206" s="31" t="n"/>
      <c r="D206" s="31" t="n"/>
      <c r="E206" s="32" t="n"/>
      <c r="F206" s="31" t="n"/>
    </row>
    <row r="207">
      <c r="A207" s="30" t="n"/>
      <c r="B207" s="31" t="n"/>
      <c r="C207" s="31" t="n"/>
      <c r="D207" s="31" t="n"/>
      <c r="E207" s="32" t="n"/>
      <c r="F207" s="31" t="n"/>
    </row>
    <row r="208">
      <c r="A208" s="30" t="n"/>
      <c r="B208" s="31" t="n"/>
      <c r="C208" s="31" t="n"/>
      <c r="D208" s="31" t="n"/>
      <c r="E208" s="32" t="n"/>
      <c r="F208" s="31" t="n"/>
    </row>
    <row r="209">
      <c r="A209" s="30" t="n"/>
      <c r="B209" s="31" t="n"/>
      <c r="C209" s="31" t="n"/>
      <c r="D209" s="31" t="n"/>
      <c r="E209" s="32" t="n"/>
      <c r="F209" s="31" t="n"/>
    </row>
    <row r="210">
      <c r="A210" s="30" t="n"/>
      <c r="B210" s="31" t="n"/>
      <c r="C210" s="31" t="n"/>
      <c r="D210" s="31" t="n"/>
      <c r="E210" s="32" t="n"/>
      <c r="F210" s="31" t="n"/>
    </row>
    <row r="211">
      <c r="A211" s="30" t="n"/>
      <c r="B211" s="31" t="n"/>
      <c r="C211" s="31" t="n"/>
      <c r="D211" s="31" t="n"/>
      <c r="E211" s="32" t="n"/>
      <c r="F211" s="31" t="n"/>
    </row>
    <row r="212">
      <c r="A212" s="30" t="n"/>
      <c r="B212" s="31" t="n"/>
      <c r="C212" s="31" t="n"/>
      <c r="D212" s="31" t="n"/>
      <c r="E212" s="32" t="n"/>
      <c r="F212" s="31" t="n"/>
    </row>
    <row r="213">
      <c r="A213" s="30" t="n"/>
      <c r="B213" s="31" t="n"/>
      <c r="C213" s="31" t="n"/>
      <c r="D213" s="31" t="n"/>
      <c r="E213" s="32" t="n"/>
      <c r="F213" s="31" t="n"/>
    </row>
    <row r="214">
      <c r="A214" s="30" t="n"/>
      <c r="B214" s="31" t="n"/>
      <c r="C214" s="31" t="n"/>
      <c r="D214" s="31" t="n"/>
      <c r="E214" s="32" t="n"/>
      <c r="F214" s="31" t="n"/>
    </row>
    <row r="215">
      <c r="A215" s="30" t="n"/>
      <c r="B215" s="31" t="n"/>
      <c r="C215" s="31" t="n"/>
      <c r="D215" s="31" t="n"/>
      <c r="E215" s="32" t="n"/>
      <c r="F215" s="31" t="n"/>
    </row>
    <row r="216">
      <c r="A216" s="30" t="n"/>
      <c r="B216" s="31" t="n"/>
      <c r="C216" s="31" t="n"/>
      <c r="D216" s="31" t="n"/>
      <c r="E216" s="32" t="n"/>
      <c r="F216" s="31" t="n"/>
    </row>
    <row r="217">
      <c r="A217" s="30" t="n"/>
      <c r="B217" s="31" t="n"/>
      <c r="C217" s="31" t="n"/>
      <c r="D217" s="31" t="n"/>
      <c r="E217" s="32" t="n"/>
      <c r="F217" s="31" t="n"/>
    </row>
    <row r="218">
      <c r="A218" s="30" t="n"/>
      <c r="B218" s="31" t="n"/>
      <c r="C218" s="31" t="n"/>
      <c r="D218" s="31" t="n"/>
      <c r="E218" s="32" t="n"/>
      <c r="F218" s="31" t="n"/>
    </row>
    <row r="219">
      <c r="A219" s="30" t="n"/>
      <c r="B219" s="31" t="n"/>
      <c r="C219" s="31" t="n"/>
      <c r="D219" s="31" t="n"/>
      <c r="E219" s="32" t="n"/>
      <c r="F219" s="31" t="n"/>
    </row>
    <row r="220">
      <c r="A220" s="30" t="n"/>
      <c r="B220" s="31" t="n"/>
      <c r="C220" s="31" t="n"/>
      <c r="D220" s="31" t="n"/>
      <c r="E220" s="32" t="n"/>
      <c r="F220" s="31" t="n"/>
    </row>
    <row r="221">
      <c r="A221" s="30" t="n"/>
      <c r="B221" s="31" t="n"/>
      <c r="C221" s="31" t="n"/>
      <c r="D221" s="31" t="n"/>
      <c r="E221" s="32" t="n"/>
      <c r="F221" s="31" t="n"/>
    </row>
    <row r="222">
      <c r="A222" s="30" t="n"/>
      <c r="B222" s="31" t="n"/>
      <c r="C222" s="31" t="n"/>
      <c r="D222" s="31" t="n"/>
      <c r="E222" s="32" t="n"/>
      <c r="F222" s="31" t="n"/>
    </row>
    <row r="223">
      <c r="A223" s="30" t="n"/>
      <c r="B223" s="31" t="n"/>
      <c r="C223" s="31" t="n"/>
      <c r="D223" s="31" t="n"/>
      <c r="E223" s="32" t="n"/>
      <c r="F223" s="31" t="n"/>
    </row>
    <row r="224">
      <c r="A224" s="30" t="n"/>
      <c r="B224" s="31" t="n"/>
      <c r="C224" s="31" t="n"/>
      <c r="D224" s="31" t="n"/>
      <c r="E224" s="32" t="n"/>
      <c r="F224" s="31" t="n"/>
    </row>
    <row r="225">
      <c r="A225" s="30" t="n"/>
      <c r="B225" s="31" t="n"/>
      <c r="C225" s="31" t="n"/>
      <c r="D225" s="31" t="n"/>
      <c r="E225" s="32" t="n"/>
      <c r="F225" s="31" t="n"/>
    </row>
    <row r="226">
      <c r="A226" s="30" t="n"/>
      <c r="B226" s="31" t="n"/>
      <c r="C226" s="31" t="n"/>
      <c r="D226" s="31" t="n"/>
      <c r="E226" s="32" t="n"/>
      <c r="F226" s="31" t="n"/>
    </row>
    <row r="227">
      <c r="A227" s="30" t="n"/>
      <c r="B227" s="31" t="n"/>
      <c r="C227" s="31" t="n"/>
      <c r="D227" s="31" t="n"/>
      <c r="E227" s="32" t="n"/>
      <c r="F227" s="31" t="n"/>
    </row>
    <row r="228">
      <c r="A228" s="30" t="n"/>
      <c r="B228" s="31" t="n"/>
      <c r="C228" s="31" t="n"/>
      <c r="D228" s="31" t="n"/>
      <c r="E228" s="32" t="n"/>
      <c r="F228" s="31" t="n"/>
    </row>
    <row r="229">
      <c r="A229" s="30" t="n"/>
      <c r="B229" s="31" t="n"/>
      <c r="C229" s="31" t="n"/>
      <c r="D229" s="31" t="n"/>
      <c r="E229" s="32" t="n"/>
      <c r="F229" s="31" t="n"/>
    </row>
    <row r="230">
      <c r="A230" s="30" t="n"/>
      <c r="B230" s="31" t="n"/>
      <c r="C230" s="31" t="n"/>
      <c r="D230" s="31" t="n"/>
      <c r="E230" s="32" t="n"/>
      <c r="F230" s="31" t="n"/>
    </row>
    <row r="231">
      <c r="A231" s="30" t="n"/>
      <c r="B231" s="31" t="n"/>
      <c r="C231" s="31" t="n"/>
      <c r="D231" s="31" t="n"/>
      <c r="E231" s="32" t="n"/>
      <c r="F231" s="31" t="n"/>
    </row>
    <row r="232">
      <c r="A232" s="30" t="n"/>
      <c r="B232" s="31" t="n"/>
      <c r="C232" s="31" t="n"/>
      <c r="D232" s="31" t="n"/>
      <c r="E232" s="32" t="n"/>
      <c r="F232" s="31" t="n"/>
    </row>
    <row r="233">
      <c r="A233" s="30" t="n"/>
      <c r="B233" s="31" t="n"/>
      <c r="C233" s="31" t="n"/>
      <c r="D233" s="31" t="n"/>
      <c r="E233" s="32" t="n"/>
      <c r="F233" s="31" t="n"/>
    </row>
    <row r="234">
      <c r="A234" s="30" t="n"/>
      <c r="B234" s="31" t="n"/>
      <c r="C234" s="31" t="n"/>
      <c r="D234" s="31" t="n"/>
      <c r="E234" s="32" t="n"/>
      <c r="F234" s="31" t="n"/>
    </row>
    <row r="235">
      <c r="A235" s="30" t="n"/>
      <c r="B235" s="31" t="n"/>
      <c r="C235" s="31" t="n"/>
      <c r="D235" s="31" t="n"/>
      <c r="E235" s="32" t="n"/>
      <c r="F235" s="31" t="n"/>
    </row>
    <row r="236">
      <c r="A236" s="30" t="n"/>
      <c r="B236" s="31" t="n"/>
      <c r="C236" s="31" t="n"/>
      <c r="D236" s="31" t="n"/>
      <c r="E236" s="32" t="n"/>
      <c r="F236" s="31" t="n"/>
    </row>
    <row r="237">
      <c r="A237" s="30" t="n"/>
      <c r="B237" s="31" t="n"/>
      <c r="C237" s="31" t="n"/>
      <c r="D237" s="31" t="n"/>
      <c r="E237" s="32" t="n"/>
      <c r="F237" s="31" t="n"/>
    </row>
    <row r="238">
      <c r="A238" s="30" t="n"/>
      <c r="B238" s="31" t="n"/>
      <c r="C238" s="31" t="n"/>
      <c r="D238" s="31" t="n"/>
      <c r="E238" s="32" t="n"/>
      <c r="F238" s="31" t="n"/>
    </row>
    <row r="239">
      <c r="A239" s="30" t="n"/>
      <c r="B239" s="31" t="n"/>
      <c r="C239" s="31" t="n"/>
      <c r="D239" s="31" t="n"/>
      <c r="E239" s="32" t="n"/>
      <c r="F239" s="31" t="n"/>
    </row>
    <row r="240">
      <c r="A240" s="30" t="n"/>
      <c r="B240" s="31" t="n"/>
      <c r="C240" s="31" t="n"/>
      <c r="D240" s="31" t="n"/>
      <c r="E240" s="32" t="n"/>
      <c r="F240" s="31" t="n"/>
    </row>
    <row r="241">
      <c r="A241" s="30" t="n"/>
      <c r="B241" s="31" t="n"/>
      <c r="C241" s="31" t="n"/>
      <c r="D241" s="31" t="n"/>
      <c r="E241" s="32" t="n"/>
      <c r="F241" s="31" t="n"/>
    </row>
    <row r="242">
      <c r="A242" s="30" t="n"/>
      <c r="B242" s="31" t="n"/>
      <c r="C242" s="31" t="n"/>
      <c r="D242" s="31" t="n"/>
      <c r="E242" s="32" t="n"/>
      <c r="F242" s="31" t="n"/>
    </row>
    <row r="243">
      <c r="A243" s="30" t="n"/>
      <c r="B243" s="31" t="n"/>
      <c r="C243" s="31" t="n"/>
      <c r="D243" s="31" t="n"/>
      <c r="E243" s="32" t="n"/>
      <c r="F243" s="31" t="n"/>
    </row>
    <row r="244">
      <c r="A244" s="30" t="n"/>
      <c r="B244" s="31" t="n"/>
      <c r="C244" s="31" t="n"/>
      <c r="D244" s="31" t="n"/>
      <c r="E244" s="32" t="n"/>
      <c r="F244" s="31" t="n"/>
    </row>
    <row r="245">
      <c r="A245" s="30" t="n"/>
      <c r="B245" s="31" t="n"/>
      <c r="C245" s="31" t="n"/>
      <c r="D245" s="31" t="n"/>
      <c r="E245" s="32" t="n"/>
      <c r="F245" s="31" t="n"/>
    </row>
    <row r="246">
      <c r="A246" s="30" t="n"/>
      <c r="B246" s="31" t="n"/>
      <c r="C246" s="31" t="n"/>
      <c r="D246" s="31" t="n"/>
      <c r="E246" s="32" t="n"/>
      <c r="F246" s="31" t="n"/>
    </row>
    <row r="247">
      <c r="A247" s="30" t="n"/>
      <c r="B247" s="31" t="n"/>
      <c r="C247" s="31" t="n"/>
      <c r="D247" s="31" t="n"/>
      <c r="E247" s="32" t="n"/>
      <c r="F247" s="31" t="n"/>
    </row>
    <row r="248">
      <c r="A248" s="30" t="n"/>
      <c r="B248" s="31" t="n"/>
      <c r="C248" s="31" t="n"/>
      <c r="D248" s="31" t="n"/>
      <c r="E248" s="32" t="n"/>
      <c r="F248" s="31" t="n"/>
    </row>
    <row r="249">
      <c r="A249" s="30" t="n"/>
      <c r="B249" s="31" t="n"/>
      <c r="C249" s="31" t="n"/>
      <c r="D249" s="31" t="n"/>
      <c r="E249" s="32" t="n"/>
      <c r="F249" s="31" t="n"/>
    </row>
    <row r="250">
      <c r="A250" s="30" t="n"/>
      <c r="B250" s="31" t="n"/>
      <c r="C250" s="31" t="n"/>
      <c r="D250" s="31" t="n"/>
      <c r="E250" s="32" t="n"/>
      <c r="F250" s="31" t="n"/>
    </row>
    <row r="251">
      <c r="A251" s="30" t="n"/>
      <c r="B251" s="31" t="n"/>
      <c r="C251" s="31" t="n"/>
      <c r="D251" s="31" t="n"/>
      <c r="E251" s="32" t="n"/>
      <c r="F251" s="31" t="n"/>
    </row>
    <row r="252">
      <c r="A252" s="30" t="n"/>
      <c r="B252" s="31" t="n"/>
      <c r="C252" s="31" t="n"/>
      <c r="D252" s="31" t="n"/>
      <c r="E252" s="32" t="n"/>
      <c r="F252" s="31" t="n"/>
    </row>
    <row r="253">
      <c r="A253" s="30" t="n"/>
      <c r="B253" s="31" t="n"/>
      <c r="C253" s="31" t="n"/>
      <c r="D253" s="31" t="n"/>
      <c r="E253" s="32" t="n"/>
      <c r="F253" s="31" t="n"/>
    </row>
    <row r="254">
      <c r="A254" s="30" t="n"/>
      <c r="B254" s="31" t="n"/>
      <c r="C254" s="31" t="n"/>
      <c r="D254" s="31" t="n"/>
      <c r="E254" s="32" t="n"/>
      <c r="F254" s="31" t="n"/>
    </row>
    <row r="255">
      <c r="A255" s="30" t="n"/>
      <c r="B255" s="31" t="n"/>
      <c r="C255" s="31" t="n"/>
      <c r="D255" s="31" t="n"/>
      <c r="E255" s="32" t="n"/>
      <c r="F255" s="31" t="n"/>
    </row>
    <row r="256">
      <c r="A256" s="30" t="n"/>
      <c r="B256" s="31" t="n"/>
      <c r="C256" s="31" t="n"/>
      <c r="D256" s="31" t="n"/>
      <c r="E256" s="32" t="n"/>
      <c r="F256" s="31" t="n"/>
    </row>
    <row r="257">
      <c r="A257" s="30" t="n"/>
      <c r="B257" s="31" t="n"/>
      <c r="C257" s="31" t="n"/>
      <c r="D257" s="31" t="n"/>
      <c r="E257" s="32" t="n"/>
      <c r="F257" s="31" t="n"/>
    </row>
    <row r="258">
      <c r="A258" s="30" t="n"/>
      <c r="B258" s="31" t="n"/>
      <c r="C258" s="31" t="n"/>
      <c r="D258" s="31" t="n"/>
      <c r="E258" s="32" t="n"/>
      <c r="F258" s="31" t="n"/>
    </row>
    <row r="259">
      <c r="A259" s="30" t="n"/>
      <c r="B259" s="31" t="n"/>
      <c r="C259" s="31" t="n"/>
      <c r="D259" s="31" t="n"/>
      <c r="E259" s="32" t="n"/>
      <c r="F259" s="31" t="n"/>
    </row>
    <row r="260">
      <c r="A260" s="30" t="n"/>
      <c r="B260" s="31" t="n"/>
      <c r="C260" s="31" t="n"/>
      <c r="D260" s="31" t="n"/>
      <c r="E260" s="32" t="n"/>
      <c r="F260" s="31" t="n"/>
    </row>
  </sheetData>
  <mergeCells count="3">
    <mergeCell ref="A2:F2"/>
    <mergeCell ref="A1:F1"/>
    <mergeCell ref="C3:F3"/>
  </mergeCells>
  <dataValidations count="4">
    <dataValidation sqref="B3" showDropDown="0" showInputMessage="0" showErrorMessage="0" allowBlank="0" type="list">
      <formula1>"TRUE,FALSE"</formula1>
    </dataValidation>
    <dataValidation sqref="B5:B260" showDropDown="0" showInputMessage="0" showErrorMessage="0" allowBlank="1" type="list">
      <formula1>=RosterFullNames</formula1>
    </dataValidation>
    <dataValidation sqref="C5:C260" showDropDown="0" showInputMessage="0" showErrorMessage="0" allowBlank="1" type="list">
      <formula1>"Flash Grade,Project/Redpoint Send,Comp Placement,Strength Benchmark,Attendance/Effort,Coach Note"</formula1>
    </dataValidation>
    <dataValidation sqref="F5:F260" showDropDown="0" showInputMessage="0" showErrorMessage="0" allowBlank="1" type="list">
      <formula1>=AllCoachNames</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B7B7B7"/>
    <outlinePr summaryBelow="1" summaryRight="1"/>
    <pageSetUpPr fitToPage="1"/>
  </sheetPr>
  <dimension ref="A1:D47"/>
  <sheetViews>
    <sheetView showGridLines="0" workbookViewId="0">
      <selection activeCell="A1" sqref="A1"/>
    </sheetView>
  </sheetViews>
  <sheetFormatPr baseColWidth="8" defaultRowHeight="15"/>
  <cols>
    <col width="42" customWidth="1" min="1" max="1"/>
    <col width="22" customWidth="1" min="2" max="2"/>
    <col width="3" customWidth="1" min="3" max="3"/>
    <col width="30" customWidth="1" min="4" max="4"/>
  </cols>
  <sheetData>
    <row r="1" ht="30" customHeight="1">
      <c r="A1" s="21" t="inlineStr">
        <is>
          <t>Settings — the control panel</t>
        </is>
      </c>
    </row>
    <row r="2">
      <c r="A2" s="2" t="inlineStr">
        <is>
          <t>Edit only the yellow cells. Everything else in the workbook reads from here.</t>
        </is>
      </c>
    </row>
    <row r="4">
      <c r="A4" s="59" t="inlineStr">
        <is>
          <t>GROUP NAMES</t>
        </is>
      </c>
    </row>
    <row r="5">
      <c r="A5" s="34" t="inlineStr">
        <is>
          <t>Group A — top performers</t>
        </is>
      </c>
      <c r="B5" s="60" t="inlineStr">
        <is>
          <t>Advanced</t>
        </is>
      </c>
    </row>
    <row r="6">
      <c r="A6" s="34" t="inlineStr">
        <is>
          <t>Group B — mid-range</t>
        </is>
      </c>
      <c r="B6" s="60" t="inlineStr">
        <is>
          <t>Intermediate</t>
        </is>
      </c>
    </row>
    <row r="7">
      <c r="A7" s="34" t="inlineStr">
        <is>
          <t>Group C — developing</t>
        </is>
      </c>
      <c r="B7" s="60" t="inlineStr">
        <is>
          <t>Developing</t>
        </is>
      </c>
    </row>
    <row r="9">
      <c r="A9" s="59" t="inlineStr">
        <is>
          <t>COACHES</t>
        </is>
      </c>
    </row>
    <row r="10">
      <c r="A10" s="7" t="inlineStr">
        <is>
          <t>Coaches now have their own tab -&gt; see "Coach Profiles". Add, remove, or reassign coaches there (including which day(s) they coach) and every dropdown and rotation elsewhere in this workbook updates automatically — no fixed coach count here anymore.</t>
        </is>
      </c>
    </row>
    <row r="11"/>
    <row r="12"/>
    <row r="14">
      <c r="A14" s="59" t="inlineStr">
        <is>
          <t>THURSDAY PRACTICE TIMING</t>
        </is>
      </c>
    </row>
    <row r="15">
      <c r="A15" s="61" t="inlineStr">
        <is>
          <t>These describe the tiered Thursday block specifically. Monday/Tuesday keep whatever format the head coach already runs — see the Full Team Calendar tab.</t>
        </is>
      </c>
    </row>
    <row r="16">
      <c r="A16" s="34" t="inlineStr">
        <is>
          <t>Season start date (first Thursday under this system)</t>
        </is>
      </c>
      <c r="B16" s="62" t="n">
        <v>46289</v>
      </c>
    </row>
    <row r="17">
      <c r="A17" s="34" t="inlineStr">
        <is>
          <t>Number of weeks scheduled below</t>
        </is>
      </c>
      <c r="B17" s="60" t="n">
        <v>16</v>
      </c>
    </row>
    <row r="18">
      <c r="A18" s="34" t="inlineStr">
        <is>
          <t>Practice start time</t>
        </is>
      </c>
      <c r="B18" s="60" t="inlineStr">
        <is>
          <t>5:30 PM</t>
        </is>
      </c>
    </row>
    <row r="19">
      <c r="A19" s="34" t="inlineStr">
        <is>
          <t>Practice end time</t>
        </is>
      </c>
      <c r="B19" s="60" t="inlineStr">
        <is>
          <t>8:00 PM</t>
        </is>
      </c>
    </row>
    <row r="20">
      <c r="A20" s="34" t="inlineStr">
        <is>
          <t>Team warm-up (minutes)</t>
        </is>
      </c>
      <c r="B20" s="60" t="n">
        <v>45</v>
      </c>
    </row>
    <row r="21">
      <c r="A21" s="34" t="inlineStr">
        <is>
          <t>Tiered group block (minutes)</t>
        </is>
      </c>
      <c r="B21" s="60" t="n">
        <v>90</v>
      </c>
    </row>
    <row r="22">
      <c r="A22" s="34" t="inlineStr">
        <is>
          <t>Team stretch / cooldown (minutes)</t>
        </is>
      </c>
      <c r="B22" s="60" t="n">
        <v>15</v>
      </c>
    </row>
    <row r="23">
      <c r="A23" s="34" t="inlineStr">
        <is>
          <t>Check: block lengths sum to practice length?</t>
        </is>
      </c>
      <c r="B23" s="24">
        <f>IF((B20+B21+B22)=((HOUR(TIMEVALUE(B19))*60+MINUTE(TIMEVALUE(B19)))-(HOUR(TIMEVALUE(B18))*60+MINUTE(TIMEVALUE(B18)))),"OK","check times")</f>
        <v/>
      </c>
    </row>
    <row r="25">
      <c r="A25" s="59" t="inlineStr">
        <is>
          <t>4-WEEK ROTATION PATTERN (auto — reads Group Names above)</t>
        </is>
      </c>
    </row>
    <row r="26">
      <c r="A26" s="9" t="inlineStr">
        <is>
          <t>Cycle Week</t>
        </is>
      </c>
      <c r="B26" s="9" t="inlineStr">
        <is>
          <t>Featured Tier</t>
        </is>
      </c>
    </row>
    <row r="27">
      <c r="A27" s="63" t="n">
        <v>1</v>
      </c>
      <c r="B27" s="64">
        <f>B5</f>
        <v/>
      </c>
    </row>
    <row r="28">
      <c r="A28" s="63" t="n">
        <v>2</v>
      </c>
      <c r="B28" s="64">
        <f>B6</f>
        <v/>
      </c>
    </row>
    <row r="29">
      <c r="A29" s="63" t="n">
        <v>3</v>
      </c>
      <c r="B29" s="64">
        <f>B7</f>
        <v/>
      </c>
    </row>
    <row r="30">
      <c r="A30" s="63" t="n">
        <v>4</v>
      </c>
      <c r="B30" s="64" t="inlineStr">
        <is>
          <t>All Team</t>
        </is>
      </c>
    </row>
    <row r="32">
      <c r="A32" s="65" t="inlineStr">
        <is>
          <t>DROPDOWN LIST HELPERS (used by data-validation dropdowns — don't delete)</t>
        </is>
      </c>
    </row>
    <row r="33">
      <c r="A33" s="9" t="inlineStr">
        <is>
          <t>Group + All Team</t>
        </is>
      </c>
      <c r="C33" s="9" t="inlineStr">
        <is>
          <t>Group + All Levels</t>
        </is>
      </c>
    </row>
    <row r="34">
      <c r="A34" s="66">
        <f>B5</f>
        <v/>
      </c>
      <c r="C34" s="66">
        <f>B5</f>
        <v/>
      </c>
    </row>
    <row r="35">
      <c r="A35" s="66">
        <f>B6</f>
        <v/>
      </c>
      <c r="C35" s="66">
        <f>B6</f>
        <v/>
      </c>
    </row>
    <row r="36">
      <c r="A36" s="66">
        <f>B7</f>
        <v/>
      </c>
      <c r="C36" s="66">
        <f>B7</f>
        <v/>
      </c>
    </row>
    <row r="37">
      <c r="A37" s="66" t="inlineStr">
        <is>
          <t>All Team</t>
        </is>
      </c>
      <c r="C37" s="66" t="inlineStr">
        <is>
          <t>All Levels</t>
        </is>
      </c>
    </row>
    <row r="39">
      <c r="A39" s="9" t="inlineStr">
        <is>
          <t>Block Types (Log a Workout, Exercise Library)</t>
        </is>
      </c>
      <c r="B39" s="10" t="n"/>
    </row>
    <row r="40">
      <c r="A40" s="67" t="inlineStr">
        <is>
          <t>Warm-up</t>
        </is>
      </c>
    </row>
    <row r="41">
      <c r="A41" s="67" t="inlineStr">
        <is>
          <t>Strength</t>
        </is>
      </c>
    </row>
    <row r="42">
      <c r="A42" s="67" t="inlineStr">
        <is>
          <t>Power</t>
        </is>
      </c>
    </row>
    <row r="43">
      <c r="A43" s="67" t="inlineStr">
        <is>
          <t>Technique/Skill</t>
        </is>
      </c>
    </row>
    <row r="44">
      <c r="A44" s="67" t="inlineStr">
        <is>
          <t>Coordination/Balance</t>
        </is>
      </c>
    </row>
    <row r="45">
      <c r="A45" s="67" t="inlineStr">
        <is>
          <t>Core</t>
        </is>
      </c>
    </row>
    <row r="46">
      <c r="A46" s="67" t="inlineStr">
        <is>
          <t>Stretch/Cooldown</t>
        </is>
      </c>
    </row>
    <row r="47">
      <c r="A47" s="67" t="inlineStr">
        <is>
          <t>Other</t>
        </is>
      </c>
    </row>
  </sheetData>
  <mergeCells count="5">
    <mergeCell ref="A1:D1"/>
    <mergeCell ref="A10:D12"/>
    <mergeCell ref="A15:D15"/>
    <mergeCell ref="A2:D2"/>
    <mergeCell ref="A39:B39"/>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2026-09-24T18:14:08Z</dcterms:created>
  <dcterms:modified xmlns:dcterms="http://purl.org/dc/terms/" xmlns:xsi="http://www.w3.org/2001/XMLSchema-instance" xsi:type="dcterms:W3CDTF">2026-09-24T18:14:08Z</dcterms:modified>
</cp:coreProperties>
</file>